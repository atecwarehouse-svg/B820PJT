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8CE3D001-7E04-4A8B-BE18-D024FBC9867F}" xr6:coauthVersionLast="47" xr6:coauthVersionMax="47" xr10:uidLastSave="{00000000-0000-0000-0000-000000000000}"/>
  <bookViews>
    <workbookView xWindow="2453" yWindow="2453" windowWidth="16200" windowHeight="9307" tabRatio="734" firstSheet="3" activeTab="6" xr2:uid="{00000000-000D-0000-FFFF-FFFF00000000}"/>
  </bookViews>
  <sheets>
    <sheet name="실사 진행현황" sheetId="1" state="hidden" r:id="rId1"/>
    <sheet name="실사 전개일정" sheetId="2" state="hidden" r:id="rId2"/>
    <sheet name="실사 일자별 현황" sheetId="3" state="hidden" r:id="rId3"/>
    <sheet name="설치 진행현황" sheetId="4" r:id="rId4"/>
    <sheet name="설치 전개일정" sheetId="5" r:id="rId5"/>
    <sheet name="설치 일자별 현황" sheetId="6" r:id="rId6"/>
    <sheet name="차량리스트" sheetId="7" r:id="rId7"/>
  </sheets>
  <definedNames>
    <definedName name="_xlnm._FilterDatabase" localSheetId="6" hidden="1">차량리스트!$A$1:$AL$2</definedName>
    <definedName name="_xlnm.Print_Titles" localSheetId="4">'설치 전개일정'!$1:$8</definedName>
    <definedName name="_xlnm.Print_Titles" localSheetId="1">'실사 전개일정'!$1:$8</definedName>
    <definedName name="_xlnm.Print_Titles" localSheetId="6">차량리스트!$1:$1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<sst xmlns="http://schemas.openxmlformats.org/spreadsheetml/2006/main" count="12329" uniqueCount="1088">
  <si>
    <t>기 준 일</t>
  </si>
  <si>
    <t>진행 실적</t>
  </si>
  <si>
    <t>비 고</t>
  </si>
  <si>
    <t>금 일</t>
  </si>
  <si>
    <t>전 체</t>
  </si>
  <si>
    <t>계획</t>
  </si>
  <si>
    <t>실사</t>
  </si>
  <si>
    <t>달성률</t>
  </si>
  <si>
    <t>대상</t>
  </si>
  <si>
    <t>진행률</t>
  </si>
  <si>
    <t>운수사별 현황</t>
  </si>
  <si>
    <t>NO</t>
  </si>
  <si>
    <t>운수사</t>
  </si>
  <si>
    <t>차고지</t>
  </si>
  <si>
    <t>대상
대수</t>
  </si>
  <si>
    <t>설치
대상</t>
  </si>
  <si>
    <t>실사
착수예정</t>
  </si>
  <si>
    <t>실사
종료예정</t>
  </si>
  <si>
    <t>금일
실사</t>
  </si>
  <si>
    <t>누적
실사</t>
  </si>
  <si>
    <t>미실사</t>
  </si>
  <si>
    <t>상태</t>
  </si>
  <si>
    <t>비고</t>
  </si>
  <si>
    <t>공항리무진 본사</t>
  </si>
  <si>
    <t>강서공영차고지</t>
  </si>
  <si>
    <t>한국공항리무진 본사</t>
  </si>
  <si>
    <t>공항동 차고지</t>
  </si>
  <si>
    <t>공항리무진 인천공항영업소</t>
  </si>
  <si>
    <t>인천장기주차장</t>
  </si>
  <si>
    <t>서울버스 본사</t>
  </si>
  <si>
    <t>장지동 차고지</t>
  </si>
  <si>
    <t>합  계</t>
  </si>
  <si>
    <t>누적 계획</t>
  </si>
  <si>
    <t>일 계획</t>
  </si>
  <si>
    <t>일 자</t>
  </si>
  <si>
    <t>요 일</t>
  </si>
  <si>
    <t>대상
수량</t>
  </si>
  <si>
    <t>실사
수량</t>
  </si>
  <si>
    <t>미실사
수량</t>
  </si>
  <si>
    <t>누적 실사</t>
  </si>
  <si>
    <t>일자별 전개 실적</t>
  </si>
  <si>
    <t>일자</t>
  </si>
  <si>
    <t>요일</t>
  </si>
  <si>
    <t>일 달성률</t>
  </si>
  <si>
    <t>누적 달성률</t>
  </si>
  <si>
    <t>전체 진행률</t>
  </si>
  <si>
    <t>설치 대상 382대 · 4개 운수사 전량 · 시범설치 11-05 공항리무진 10대 · 본설치 11-13 ~ 12-10 (평일 월~금 · 서울버스 11-26, 한국공항리무진 12-07 착수)</t>
    <phoneticPr fontId="36" type="noConversion"/>
  </si>
  <si>
    <t>설치</t>
  </si>
  <si>
    <t>실사
완료</t>
  </si>
  <si>
    <t>설치
착수예정</t>
  </si>
  <si>
    <t>설치
종료예정</t>
  </si>
  <si>
    <t>금일
설치</t>
  </si>
  <si>
    <t>누적
설치</t>
  </si>
  <si>
    <t>미설치</t>
  </si>
  <si>
    <t>시범설치 10대 (11-05)</t>
  </si>
  <si>
    <t>공항리무진 인천공항영업소</t>
    <phoneticPr fontId="36" type="noConversion"/>
  </si>
  <si>
    <t>인천장기주차장</t>
    <phoneticPr fontId="36" type="noConversion"/>
  </si>
  <si>
    <t>서울버스 본사</t>
    <phoneticPr fontId="36" type="noConversion"/>
  </si>
  <si>
    <t>장지동 차고지</t>
    <phoneticPr fontId="36" type="noConversion"/>
  </si>
  <si>
    <t>한국공항리무진 본사</t>
    <phoneticPr fontId="36" type="noConversion"/>
  </si>
  <si>
    <t>공항동 차고지</t>
    <phoneticPr fontId="36" type="noConversion"/>
  </si>
  <si>
    <t>설치
수량</t>
  </si>
  <si>
    <t>미설치
수량</t>
  </si>
  <si>
    <t>누적 설치</t>
  </si>
  <si>
    <t>번호</t>
  </si>
  <si>
    <t>노선</t>
  </si>
  <si>
    <t>운수사 주소</t>
  </si>
  <si>
    <t>차량번호</t>
  </si>
  <si>
    <t>실사
예정일</t>
  </si>
  <si>
    <t>실사
완료여부</t>
  </si>
  <si>
    <t>실사
완료일</t>
  </si>
  <si>
    <t>설치
예정일</t>
  </si>
  <si>
    <t>설치
완료여부</t>
  </si>
  <si>
    <t>설치
완료일</t>
  </si>
  <si>
    <t>연식</t>
  </si>
  <si>
    <t>제조사</t>
  </si>
  <si>
    <t>모델명</t>
  </si>
  <si>
    <t>차대번호</t>
    <phoneticPr fontId="36" type="noConversion"/>
  </si>
  <si>
    <t>연료
타입</t>
  </si>
  <si>
    <t>돈통여부</t>
  </si>
  <si>
    <t>영수증 여부</t>
  </si>
  <si>
    <t>승차 설치 위치</t>
  </si>
  <si>
    <t>차량
휴즈타입</t>
  </si>
  <si>
    <t>타코
 제조사</t>
  </si>
  <si>
    <t>도어스위치
타입</t>
  </si>
  <si>
    <t>운전석
봉 종류</t>
  </si>
  <si>
    <t>하차봉
굵기</t>
  </si>
  <si>
    <t>하차단말기 
개수</t>
  </si>
  <si>
    <t>빈좌석
표시기</t>
  </si>
  <si>
    <t>안내방송</t>
  </si>
  <si>
    <t>완료</t>
  </si>
  <si>
    <t>2016</t>
  </si>
  <si>
    <t>현대</t>
  </si>
  <si>
    <t>유니버스</t>
  </si>
  <si>
    <t>KMJKG18KPGC915205</t>
  </si>
  <si>
    <t>경유</t>
  </si>
  <si>
    <t>고상</t>
  </si>
  <si>
    <t>있음</t>
  </si>
  <si>
    <t>없음</t>
  </si>
  <si>
    <t>A형브라켓</t>
  </si>
  <si>
    <t>가능</t>
  </si>
  <si>
    <t>A형 브라켓</t>
  </si>
  <si>
    <t>MINI</t>
  </si>
  <si>
    <t>원진</t>
  </si>
  <si>
    <t>CAN 연결</t>
  </si>
  <si>
    <t>펄스(버튼)</t>
  </si>
  <si>
    <t>코치</t>
  </si>
  <si>
    <t>스틸</t>
  </si>
  <si>
    <t>34</t>
  </si>
  <si>
    <t>해당없음</t>
  </si>
  <si>
    <t>0</t>
  </si>
  <si>
    <t>X</t>
  </si>
  <si>
    <t>에이텍</t>
  </si>
  <si>
    <t>배터리 방전으로 인한 개문 불가</t>
  </si>
  <si>
    <t>2017</t>
  </si>
  <si>
    <t>KMJKG18KPHC915953</t>
  </si>
  <si>
    <t>매립</t>
  </si>
  <si>
    <t>2018</t>
  </si>
  <si>
    <t>KMJKG18KPJC917704</t>
  </si>
  <si>
    <t>KMJKG18KPGC915204</t>
  </si>
  <si>
    <t>KMJKG18KPHC915951</t>
  </si>
  <si>
    <t>KMJKG18KPHC915954</t>
  </si>
  <si>
    <t>서울71사2466</t>
    <phoneticPr fontId="36" type="noConversion"/>
  </si>
  <si>
    <t>KMJKG18KPTC006146</t>
  </si>
  <si>
    <t>micro2</t>
  </si>
  <si>
    <t>서울71사2467</t>
    <phoneticPr fontId="36" type="noConversion"/>
  </si>
  <si>
    <t>KMJKG18KPTC006147</t>
  </si>
  <si>
    <t>서울71사2468</t>
    <phoneticPr fontId="36" type="noConversion"/>
  </si>
  <si>
    <t>KMJKG18KPTC006148</t>
  </si>
  <si>
    <t>서울71사2469</t>
    <phoneticPr fontId="36" type="noConversion"/>
  </si>
  <si>
    <t>KMJKG18KPTC006149</t>
  </si>
  <si>
    <t>서울71사2470</t>
    <phoneticPr fontId="36" type="noConversion"/>
  </si>
  <si>
    <t>KMJKG18KPTC006150</t>
  </si>
  <si>
    <t>서울71사2471</t>
    <phoneticPr fontId="36" type="noConversion"/>
  </si>
  <si>
    <t>KMJKG18KPTC006151</t>
  </si>
  <si>
    <t>서울71사2472</t>
    <phoneticPr fontId="36" type="noConversion"/>
  </si>
  <si>
    <t>KMJKG18KPTC006152</t>
  </si>
  <si>
    <t>서울71사2473</t>
    <phoneticPr fontId="36" type="noConversion"/>
  </si>
  <si>
    <t>KMJKG18KPTC006153</t>
  </si>
  <si>
    <t>KMJKG18KPGC915201</t>
  </si>
  <si>
    <t>KMJKG18KPHC915955</t>
  </si>
  <si>
    <t>기아</t>
  </si>
  <si>
    <t>그랜버드</t>
  </si>
  <si>
    <t>KNGGBK6X2JK016019</t>
  </si>
  <si>
    <t>KMJKG18KPGC915203</t>
  </si>
  <si>
    <t>KNGGBK6X2JK016017</t>
  </si>
  <si>
    <t>KMJKG18KPJC013722</t>
  </si>
  <si>
    <t>KNGGBK6X2HK014013</t>
  </si>
  <si>
    <t>KMJKG18KPHC915947</t>
  </si>
  <si>
    <t>KMJKG18KPJC917705</t>
  </si>
  <si>
    <t>KMJKG18KPJC917706</t>
  </si>
  <si>
    <t>KMJKG18KPJC917707</t>
  </si>
  <si>
    <t>KNGGBK6X2JK016020</t>
  </si>
  <si>
    <t>KMJKG18KPGC915202</t>
  </si>
  <si>
    <t>KNGGBK6X2JK016022</t>
  </si>
  <si>
    <t>KNGGBK6X2JK016026</t>
  </si>
  <si>
    <t>KNGGBK6X2KK016873</t>
  </si>
  <si>
    <t>KNGGBK6X2HK014014</t>
  </si>
  <si>
    <t>KNGGBK6X2GK012344</t>
  </si>
  <si>
    <t>KMJKG18KPHC915946</t>
  </si>
  <si>
    <t>서울71사2474</t>
    <phoneticPr fontId="36" type="noConversion"/>
  </si>
  <si>
    <t>KMJKG18KPTC006154</t>
  </si>
  <si>
    <t>서울71사2475</t>
    <phoneticPr fontId="36" type="noConversion"/>
  </si>
  <si>
    <t>KMJKG18KPTC006155</t>
  </si>
  <si>
    <t>매립</t>
    <phoneticPr fontId="36" type="noConversion"/>
  </si>
  <si>
    <t>서울71사2476</t>
    <phoneticPr fontId="36" type="noConversion"/>
  </si>
  <si>
    <t>KMJKG18KPTC006156</t>
  </si>
  <si>
    <t>서울71사2477</t>
    <phoneticPr fontId="36" type="noConversion"/>
  </si>
  <si>
    <t>KMJKG18KPTC006157</t>
  </si>
  <si>
    <t>서울71사2478</t>
    <phoneticPr fontId="36" type="noConversion"/>
  </si>
  <si>
    <t>KMJKG18KPTC006158</t>
  </si>
  <si>
    <t>KNGGBK6X2HK014010</t>
  </si>
  <si>
    <t>2015</t>
  </si>
  <si>
    <t>뉴그랜버드</t>
  </si>
  <si>
    <t>KNGGBK6X2FK011754</t>
  </si>
  <si>
    <t>KNGGBK6X2GK012208</t>
  </si>
  <si>
    <t>KNGGBK6X2GK012211</t>
  </si>
  <si>
    <t>KNGGBK6X2GK012213</t>
  </si>
  <si>
    <t>KNGGBK6X2JK015102</t>
  </si>
  <si>
    <t>KNGGBK6X2JK015116</t>
  </si>
  <si>
    <t>KNGGBK6X2JK015120</t>
  </si>
  <si>
    <t>KNGGBK6X2JK015124</t>
  </si>
  <si>
    <t>KMJKG18KPJC916952</t>
  </si>
  <si>
    <t>ONEGENE</t>
  </si>
  <si>
    <t>KMJKG18KPJC916977</t>
  </si>
  <si>
    <t>KNGGBK6X2HK013967</t>
  </si>
  <si>
    <t>KNGGBK6X2FK011651</t>
  </si>
  <si>
    <t>KNGGBK6X2GK012210</t>
  </si>
  <si>
    <t>KNGGBK6X2GK012212</t>
  </si>
  <si>
    <t>KNGGBK6X2GK013462</t>
  </si>
  <si>
    <t>KNGGBK6X2JK015103</t>
  </si>
  <si>
    <t>KNGGBK6X2JK015119</t>
  </si>
  <si>
    <t>KNGGBK6X2JK015126</t>
  </si>
  <si>
    <t>KMJKG18KPJC916949</t>
  </si>
  <si>
    <t>KMJKG18KPJC916955</t>
  </si>
  <si>
    <t>KMJKG18KPJC916980</t>
  </si>
  <si>
    <t>KMJKG18KPJC916958</t>
  </si>
  <si>
    <t>KNGGBK6X2JK015643</t>
  </si>
  <si>
    <t>2023</t>
  </si>
  <si>
    <t>KMJKG18KPPC903106</t>
  </si>
  <si>
    <t>KMJKG18KPJC916978</t>
  </si>
  <si>
    <t>KMJKG18KPJC916982</t>
  </si>
  <si>
    <t>KMJKG18KPJC916983</t>
  </si>
  <si>
    <t>KNGGBK6X2JK015644</t>
  </si>
  <si>
    <t>KMJKG18KPPC903136</t>
  </si>
  <si>
    <t>KNGGBK6X2RK002250</t>
  </si>
  <si>
    <t>2025</t>
  </si>
  <si>
    <t>KMJKG18KPSC004897</t>
  </si>
  <si>
    <t>연결X</t>
  </si>
  <si>
    <t>KMJKG18KPSC004899</t>
  </si>
  <si>
    <t>2020</t>
  </si>
  <si>
    <t>KNGGBK6X2LK017852</t>
  </si>
  <si>
    <t>KNGGBK6X2LK017854</t>
  </si>
  <si>
    <t>KMJKG18KPGC011033</t>
  </si>
  <si>
    <t>KMJKG18KPPC903127</t>
  </si>
  <si>
    <t>2024</t>
  </si>
  <si>
    <t>KMJKG18KPPC903137</t>
  </si>
  <si>
    <t>KMJKG18KPSC004813</t>
  </si>
  <si>
    <t>KMJKG18KPSC004898</t>
  </si>
  <si>
    <t>KNGGBK6X2LK017849</t>
  </si>
  <si>
    <t>2019</t>
  </si>
  <si>
    <t>KMJKG18KPLC900709</t>
  </si>
  <si>
    <t>KNGGBK6X2LK017856</t>
  </si>
  <si>
    <t>KMJKG18KPGC011034</t>
  </si>
  <si>
    <t>KMJKG18KPGC011030</t>
  </si>
  <si>
    <t>KMJKG18KPGC011041</t>
  </si>
  <si>
    <t>KNGGBK6X2JK016023</t>
  </si>
  <si>
    <t>KMJKG18KPHC915948</t>
  </si>
  <si>
    <t>KMJKG18KPJC917703</t>
  </si>
  <si>
    <t>KNGGBK6X2JK016018</t>
  </si>
  <si>
    <t>KMJKG18KPJC917708</t>
  </si>
  <si>
    <t>KMJKG18KPJC917710</t>
  </si>
  <si>
    <t>ONEGEME</t>
  </si>
  <si>
    <t>KMJKG18KPHC915949</t>
  </si>
  <si>
    <t>KNGGBK6X2JK016025</t>
  </si>
  <si>
    <t>KMJKG18KPJC013723</t>
  </si>
  <si>
    <t>KNGGBK6X2JK015988</t>
  </si>
  <si>
    <t>KNGGBK6X2KK016872</t>
  </si>
  <si>
    <t>KNGGBK6X2HK014011</t>
  </si>
  <si>
    <t>KMJKG18KPGC011040</t>
  </si>
  <si>
    <t>KMJKG18KPGC011036</t>
  </si>
  <si>
    <t>KMJKG18KPJC917702</t>
  </si>
  <si>
    <t>KNGGBK6X2HK013971</t>
  </si>
  <si>
    <t>KMJKG18KPHC915950</t>
  </si>
  <si>
    <t>KMJKG18KPHC915952</t>
  </si>
  <si>
    <t>KNGGBK6X2JK016021</t>
  </si>
  <si>
    <t>KMJKG18KPJC917709</t>
  </si>
  <si>
    <t>CNG</t>
  </si>
  <si>
    <t>KMJKG18KPJC917711</t>
  </si>
  <si>
    <t>저상</t>
  </si>
  <si>
    <t>KNGGBK6X2KK016869</t>
  </si>
  <si>
    <t>KNGGBK6X2KK016870</t>
  </si>
  <si>
    <t>그랜보버</t>
  </si>
  <si>
    <t>KNGGBK6X2JK015987</t>
  </si>
  <si>
    <t>없음</t>
    <phoneticPr fontId="36" type="noConversion"/>
  </si>
  <si>
    <t>KNGGBK6X2JK015989</t>
  </si>
  <si>
    <t>KNGGBK6X2KK016871</t>
  </si>
  <si>
    <t>KNGGBK6X2LK017845</t>
  </si>
  <si>
    <t>KNGGBK6X2LK017846</t>
  </si>
  <si>
    <t>KNGGBK6X2LK017847</t>
  </si>
  <si>
    <t>KNGGBK6X2LK017848</t>
  </si>
  <si>
    <t>KNGGBK6X2HK013969</t>
  </si>
  <si>
    <t>KNGGBK6X2GK012342</t>
  </si>
  <si>
    <t>KNGGBK6X2GK012207</t>
  </si>
  <si>
    <t>KNGGBK6X2GK012292</t>
  </si>
  <si>
    <t>KNGGBK6X2GK012335</t>
  </si>
  <si>
    <t>KNGGBK6X2GK012337</t>
  </si>
  <si>
    <t>KNGGBK6X2GK012339</t>
  </si>
  <si>
    <t>KNGGBK6X2GK013461</t>
  </si>
  <si>
    <t>KNGGBK6X2HK014012</t>
  </si>
  <si>
    <t>KMJKG18KPLC900714</t>
  </si>
  <si>
    <t>KMJKG18KPLC900715</t>
  </si>
  <si>
    <t>KMJKG18KPLC900713</t>
  </si>
  <si>
    <t>KNGGBK6X2GK012343</t>
  </si>
  <si>
    <t>KNGGBK6X2HK013968</t>
  </si>
  <si>
    <t>KNGGBK6X2HK013970</t>
  </si>
  <si>
    <t>KNGGBK6X2FK011652</t>
  </si>
  <si>
    <t>KNGGBK6X2GK012209</t>
  </si>
  <si>
    <t>KNGGBK6X2GK012334</t>
  </si>
  <si>
    <t>KNGGBK6X2GK012336</t>
  </si>
  <si>
    <t>KNGGBK6X2GK012338</t>
  </si>
  <si>
    <t>KNGGBK6X2JK016024</t>
  </si>
  <si>
    <t>KNGGBK6X2JK015111</t>
  </si>
  <si>
    <t>KNGGBK6X2JK015115</t>
  </si>
  <si>
    <t>KNGGBK6X2JK015125</t>
  </si>
  <si>
    <t>KNGGBK6X2JK015118</t>
  </si>
  <si>
    <t>KNGGBK6X2JK015110</t>
  </si>
  <si>
    <t>KNGGBK6X2JK015123</t>
  </si>
  <si>
    <t>KNGGBK6X2JK015114</t>
  </si>
  <si>
    <t>KNGGBK6X2JK015163</t>
  </si>
  <si>
    <t>KNGGBK6X2JK015165</t>
  </si>
  <si>
    <t>KMJKG18KPJC916951</t>
  </si>
  <si>
    <t>KMJKG18KPJC916957</t>
  </si>
  <si>
    <t>KMJKG18KPJC916956</t>
  </si>
  <si>
    <t>KMJKG18KPJC916981</t>
  </si>
  <si>
    <t>KNGGBK6X2JK015641</t>
  </si>
  <si>
    <t>KNGGBK6X2JK015618</t>
  </si>
  <si>
    <t>KNGGBK6X2JK015117</t>
  </si>
  <si>
    <t>KNGGBK6X2JK015121</t>
  </si>
  <si>
    <t>KNGGBK6X2JK015112</t>
  </si>
  <si>
    <t>KNGGBK6X2JK015127</t>
  </si>
  <si>
    <t>KNGGBK6X2JK015122</t>
  </si>
  <si>
    <t>KNGGBK6X2JK015113</t>
  </si>
  <si>
    <t>KNGGBK6X2JK015164</t>
  </si>
  <si>
    <t>KMJKG18KPJC916950</t>
  </si>
  <si>
    <t>KMJKG18KPJC916953</t>
  </si>
  <si>
    <t>KMJKG18KPJC916954</t>
  </si>
  <si>
    <t>KMJKG18KPJC916979</t>
  </si>
  <si>
    <t>KNGGBK6X2JK015642</t>
  </si>
  <si>
    <t>KNGGBK6X2JK015619</t>
  </si>
  <si>
    <t>KNGGBK6X2JK015646</t>
  </si>
  <si>
    <t>KNGGBK6X2JK015648</t>
  </si>
  <si>
    <t>KNGGBK6X2LK017855</t>
  </si>
  <si>
    <t>KNGGBK6X2LK017858</t>
  </si>
  <si>
    <t>KMJKG18KPPC903087</t>
  </si>
  <si>
    <t>KMJKG18KPPC903093</t>
  </si>
  <si>
    <t>KMJKG18KPPC903082</t>
  </si>
  <si>
    <t>KMJKG18KPPC903086</t>
  </si>
  <si>
    <t>KMJKG18KPPC903092</t>
  </si>
  <si>
    <t>KMJKG18KPPC903091</t>
  </si>
  <si>
    <t>KMJKG18KPPC903095</t>
  </si>
  <si>
    <t>KMJKG18KPPC903097</t>
  </si>
  <si>
    <t>KMJKG18KPPC903102</t>
  </si>
  <si>
    <t>KNGGBK6X2JK015617</t>
  </si>
  <si>
    <t>KNGGBK6X2JK015647</t>
  </si>
  <si>
    <t>KNGGBK6X2LK017853</t>
  </si>
  <si>
    <t>KNGGBK6X2LK017857</t>
  </si>
  <si>
    <t>KMJKG18KPPC903083</t>
  </si>
  <si>
    <t>KMJKG18KPPC903089</t>
  </si>
  <si>
    <t>KMJKG18KPPC903098</t>
  </si>
  <si>
    <t>KMJKG18KPPC903085</t>
  </si>
  <si>
    <t>KMJKG18KPPC903090</t>
  </si>
  <si>
    <t>KMJKG18KPPC903084</t>
  </si>
  <si>
    <t>KMJKG18KPPC903094</t>
  </si>
  <si>
    <t>KMJKG18KPPC903096</t>
  </si>
  <si>
    <t>KMJKG18KPPC903099</t>
  </si>
  <si>
    <t>루프</t>
  </si>
  <si>
    <t>KMJKG18KPPC903104</t>
  </si>
  <si>
    <t>KMJKG18KPPC903105</t>
  </si>
  <si>
    <t>KMJKG18KPPC903101</t>
  </si>
  <si>
    <t>KMJKG18KPPC903128</t>
  </si>
  <si>
    <t>KMJKG18KPPC903130</t>
  </si>
  <si>
    <t>KMJKG18KPPC903133</t>
  </si>
  <si>
    <t>KMJKG18KPPC903132</t>
  </si>
  <si>
    <t>KMJKG18KPPC903135</t>
  </si>
  <si>
    <t>KMJKG18KPPC903139</t>
  </si>
  <si>
    <t>KMJKG18KPPC903141</t>
  </si>
  <si>
    <t>KMJKG18KPPC903143</t>
  </si>
  <si>
    <t>KMJKG18KPPC903145</t>
  </si>
  <si>
    <t>KNGGBK6X2RK002249</t>
  </si>
  <si>
    <t>KNGGBK6X2RK002540</t>
  </si>
  <si>
    <t>KNGGBK6X2RK002621</t>
  </si>
  <si>
    <t>KMJKG18KPPC903100</t>
  </si>
  <si>
    <t>KMJKG18KPPC903103</t>
  </si>
  <si>
    <t>KMJKG18KPPC903129</t>
  </si>
  <si>
    <t>KMJKG18KPPC903131</t>
  </si>
  <si>
    <t>KMJKG18KPPC903088</t>
  </si>
  <si>
    <t>KMJKG18KPPC903134</t>
  </si>
  <si>
    <t>KMJKG18KPPC903138</t>
  </si>
  <si>
    <t>KMJKG18KPPC903140</t>
  </si>
  <si>
    <t>KMJKG18KPPC903142</t>
  </si>
  <si>
    <t>KMJKG18KPPC903144</t>
  </si>
  <si>
    <t>KMJKG18KPPC903146</t>
  </si>
  <si>
    <t>KNGGBK6X2RK002251</t>
  </si>
  <si>
    <t>KNGGBK6X2RK002620</t>
  </si>
  <si>
    <t>KNGGBK6X2RK002623</t>
  </si>
  <si>
    <t>KNGGBK6X2RK002625</t>
  </si>
  <si>
    <t>KNGGBK6X2RK002627</t>
  </si>
  <si>
    <t>KNGGBK6X2RK002629</t>
  </si>
  <si>
    <t>KMJKG18KPSC004730</t>
  </si>
  <si>
    <t>KMJKG18KPSC004810</t>
  </si>
  <si>
    <t>KMJKG18KPSC004812</t>
  </si>
  <si>
    <t>KMJKG18KPLC900711</t>
  </si>
  <si>
    <t>KMJKG18KPLC900712</t>
  </si>
  <si>
    <t>KMJKG18KPGC011031</t>
  </si>
  <si>
    <t>KMJKG18KPGC011035</t>
  </si>
  <si>
    <t>KMJKG18KPGC011038</t>
  </si>
  <si>
    <t>KNGGBK6X2GK012340</t>
  </si>
  <si>
    <t>KNGGBK6X2RK002622</t>
  </si>
  <si>
    <t>KNGGBK6X2RK002624</t>
  </si>
  <si>
    <t>KNGGBK6X2RK002626</t>
  </si>
  <si>
    <t>KNGGBK6X2RK002628</t>
  </si>
  <si>
    <t>KMJKG18KPSC004589</t>
  </si>
  <si>
    <t>KMJKG18KPSC004731</t>
  </si>
  <si>
    <t>KMJKG18KPSC004811</t>
  </si>
  <si>
    <t>KMJKG18KPLC900710</t>
  </si>
  <si>
    <t>KNGGBK6X2LK017850</t>
  </si>
  <si>
    <t>KMJKG18KPGC011029</t>
  </si>
  <si>
    <t>KMJKG18KPGC011032</t>
  </si>
  <si>
    <t>KMJKG18KPGC011037</t>
  </si>
  <si>
    <t>KMJKG18KPGC011039</t>
  </si>
  <si>
    <t>KNGGBK6X2GK012341</t>
  </si>
  <si>
    <t>KNGGBK6X2KK016367</t>
  </si>
  <si>
    <t>두리텍</t>
  </si>
  <si>
    <t>2014</t>
  </si>
  <si>
    <t>KMJKG18RPEC912545</t>
  </si>
  <si>
    <t>운전석 상단</t>
  </si>
  <si>
    <t>불가</t>
  </si>
  <si>
    <t>운전석 ㄱ자 브라켓</t>
  </si>
  <si>
    <t>KNGGBK6X2KK016388</t>
  </si>
  <si>
    <t>KNGGBK6X2KK016390</t>
  </si>
  <si>
    <t>KMJKG18KPGC011482</t>
  </si>
  <si>
    <t>KMJKG18RPEC912542</t>
  </si>
  <si>
    <t>Loop</t>
  </si>
  <si>
    <t>KNGGBK6X2KK016289</t>
  </si>
  <si>
    <t>KMJKG18KPGC011484</t>
  </si>
  <si>
    <t>KNGGBK6X2KK016306</t>
  </si>
  <si>
    <t>KMJKG18RPEC912544</t>
  </si>
  <si>
    <t>KNGGBK6X2KK016286</t>
  </si>
  <si>
    <t>KNGGBK6X2KK016357</t>
  </si>
  <si>
    <t>KNGGBK6X2KK016389</t>
  </si>
  <si>
    <t>2026</t>
  </si>
  <si>
    <t>KMJKG18KPTC006071</t>
  </si>
  <si>
    <t>KMJKG18KPFC913630</t>
  </si>
  <si>
    <t>KNGGBK6X2KK016285</t>
  </si>
  <si>
    <t>KNGGBK6X2KK016368</t>
  </si>
  <si>
    <t>KMJKG18KPFC913566</t>
  </si>
  <si>
    <t>KMJKG18KPFC913629</t>
  </si>
  <si>
    <t>KNGGBK6X2KK016303</t>
  </si>
  <si>
    <t>유니버스 수소전기버스</t>
  </si>
  <si>
    <t>KMJKA181PRC904059</t>
  </si>
  <si>
    <t>수소전기</t>
  </si>
  <si>
    <t>격벽 스틸 봉 브라켓</t>
  </si>
  <si>
    <t>KMJKG18KPFC913627</t>
  </si>
  <si>
    <t>운전석 ㄱ자 브라켓</t>
    <phoneticPr fontId="36" type="noConversion"/>
  </si>
  <si>
    <t>KMJKG18KPFC913639</t>
  </si>
  <si>
    <t>KMJKG18KPTC006069</t>
    <phoneticPr fontId="36" type="noConversion"/>
  </si>
  <si>
    <t>KNGGBK6X2KK016379</t>
  </si>
  <si>
    <t>KNGGBK6X2KK016287</t>
  </si>
  <si>
    <t>불명</t>
  </si>
  <si>
    <t>KMJKG18KPTC006070</t>
  </si>
  <si>
    <t>KMJKG18RPEC912543</t>
  </si>
  <si>
    <t>KMJKG18KPGC011483</t>
  </si>
  <si>
    <t>KNGGBK6X2KK016377</t>
  </si>
  <si>
    <t>KNGGBK6X2KK016288</t>
  </si>
  <si>
    <t>LOOP</t>
  </si>
  <si>
    <t>KNGGBK6X2KK016307</t>
  </si>
  <si>
    <t>KMJKG18KPFC913628</t>
  </si>
  <si>
    <t>KMJKG18KPFC913640</t>
  </si>
  <si>
    <t>KMJKG18KPTC006073</t>
  </si>
  <si>
    <t>KMJKG18KPFC913567</t>
  </si>
  <si>
    <t>KNGGBK6X2KK016366</t>
  </si>
  <si>
    <t>KMJKG18KPFC913641</t>
  </si>
  <si>
    <t>KNGGBK6X2LK017873</t>
  </si>
  <si>
    <t>KNGGBK6X2KK016378</t>
  </si>
  <si>
    <t>KMJKG18KPFC913626</t>
  </si>
  <si>
    <t>운전석 상단</t>
    <phoneticPr fontId="36" type="noConversion"/>
  </si>
  <si>
    <t>KMJKG18KPTC006072</t>
  </si>
  <si>
    <t>KMJKG18KPFC913568</t>
  </si>
  <si>
    <t>폴딩</t>
  </si>
  <si>
    <t>KMJKG18KPFC913638</t>
  </si>
  <si>
    <t>KMJKG18KPFC913642</t>
  </si>
  <si>
    <t>KNGGBK6X2KK016387</t>
  </si>
  <si>
    <t>KNGGBK6X2LK017869</t>
  </si>
  <si>
    <t>KNGGBK6X2KK016300</t>
  </si>
  <si>
    <t>KNGGBK6X2KK016302</t>
  </si>
  <si>
    <t>KNGGBK6X2KK016361</t>
  </si>
  <si>
    <t>KNGGBK6X2KK016360</t>
  </si>
  <si>
    <t>KNGGBK6X2LK017871</t>
  </si>
  <si>
    <t>KNGGBK6X2LK017870</t>
  </si>
  <si>
    <t>KNGGBK6X2LK017868</t>
  </si>
  <si>
    <t>KNGGBK6X2KK016305</t>
  </si>
  <si>
    <t>KNGGBK6X2KK016359</t>
  </si>
  <si>
    <t>KNGGBK6X2KK016358</t>
  </si>
  <si>
    <t>KNGGBK6X2KK016301</t>
  </si>
  <si>
    <t>KNGGBK6X2KK016283</t>
  </si>
  <si>
    <t>KNGGBK6X2KK016284</t>
  </si>
  <si>
    <t>KNGGBK6X2LK017872</t>
  </si>
  <si>
    <t>KMJKG18KPGC011907</t>
  </si>
  <si>
    <t>KMJKG18KPGC011908</t>
  </si>
  <si>
    <t>KNGGBK6X2GK013447</t>
  </si>
  <si>
    <t>KNGGBK6X2GK013449</t>
  </si>
  <si>
    <t>KNGGBK6X2JK015037</t>
  </si>
  <si>
    <t>KNGGBK6X2JK015039</t>
  </si>
  <si>
    <t>KNGGBK6X2JK015041</t>
  </si>
  <si>
    <t>KNGGBK6X2JK015105</t>
  </si>
  <si>
    <t>KNGGBK6X2JK015157</t>
  </si>
  <si>
    <t>KNGGBK6X2JK015264</t>
  </si>
  <si>
    <t>KNGGBK6X2JK015266</t>
  </si>
  <si>
    <t>KMJKA181PRC904060</t>
  </si>
  <si>
    <t>KNGGBK6X2KK016304</t>
  </si>
  <si>
    <t>KNGGBK6X2KK016391</t>
  </si>
  <si>
    <t>KMJKG18KPGC011485</t>
  </si>
  <si>
    <t>KMJKG18KPGC011909</t>
  </si>
  <si>
    <t>KNGGBK6X2GK013446</t>
  </si>
  <si>
    <t>KNGGBK6X2GK013448</t>
  </si>
  <si>
    <t>KNGGBK6X2GK013450</t>
  </si>
  <si>
    <t>KNGGBK6X2JK015038</t>
  </si>
  <si>
    <t>KNGGBK6X2JK015040</t>
  </si>
  <si>
    <t>KNGGBK6X2JK015104</t>
  </si>
  <si>
    <t>KNGGBK6X2JK015106</t>
  </si>
  <si>
    <t>KNGGBK6X2JK015158</t>
  </si>
  <si>
    <t>KNGGBK6X2JK015265</t>
  </si>
  <si>
    <t>KNGGBK6X2JK015267</t>
  </si>
  <si>
    <t>KNGGBK6X1JK014968</t>
  </si>
  <si>
    <t>KNGGBK6X1JK015100</t>
  </si>
  <si>
    <t>KMJKG18KPHC013116</t>
  </si>
  <si>
    <t>KNGGBK1X1JK015906</t>
  </si>
  <si>
    <t>KNGGBK1X1JK015908</t>
  </si>
  <si>
    <t>KNGGBK1X1JK015910</t>
  </si>
  <si>
    <t>KNGGBK1X1JK015912</t>
  </si>
  <si>
    <t>KNGGBK6X1JK014969</t>
  </si>
  <si>
    <t>KMJKG18KPHC013115</t>
  </si>
  <si>
    <t>KNGGBK6X1JK015101</t>
  </si>
  <si>
    <t>코리아타코</t>
  </si>
  <si>
    <t>KNGGBK1X1JK015907</t>
  </si>
  <si>
    <t>KNGGBK1X1JK015909</t>
  </si>
  <si>
    <t>KNGGBK1X1JK015911</t>
  </si>
  <si>
    <t>KNGGBK1X1JK015914</t>
  </si>
  <si>
    <t>KNGGBK1X1JK016204</t>
  </si>
  <si>
    <t>KMJKG18KPJC013883</t>
  </si>
  <si>
    <t>KMJKG18KPJC013885</t>
  </si>
  <si>
    <t>KMJKG18KPJC013887</t>
  </si>
  <si>
    <t>KMJKG18KPJC013889</t>
  </si>
  <si>
    <t>레버</t>
  </si>
  <si>
    <t>KNGGBK1X1JK015913</t>
  </si>
  <si>
    <t>KNGGBK1X1JK016205</t>
  </si>
  <si>
    <t>KMJKG18KPJC013884</t>
  </si>
  <si>
    <t>KMJKG18KPJC013886</t>
  </si>
  <si>
    <t>KMJKG18KPJC013888</t>
  </si>
  <si>
    <t>KMJKG18KPJC013528</t>
  </si>
  <si>
    <t>KMJKG18KPJC013529</t>
  </si>
  <si>
    <t>KMJKG18KPJC013531</t>
  </si>
  <si>
    <t>KMJKG18KPJC013533</t>
  </si>
  <si>
    <t>KMJKG18KPJC013535</t>
  </si>
  <si>
    <t>KMJKG18KPJC013537</t>
  </si>
  <si>
    <t>KMJKG18KPKC014205</t>
  </si>
  <si>
    <t>KNGGBK1X1KK016691</t>
  </si>
  <si>
    <t>KMJKG18KPJC013530</t>
  </si>
  <si>
    <t>KMJKG18KPJC013532</t>
  </si>
  <si>
    <t>KMJKG18KPJC013534</t>
  </si>
  <si>
    <t>KMJKG18KPJC013536</t>
  </si>
  <si>
    <t>KMJKG18KPKC014212</t>
  </si>
  <si>
    <t>KNGGBK1X1KK016690</t>
  </si>
  <si>
    <t>KMJKG18KPHC013117</t>
  </si>
  <si>
    <t>KMJKG18KPHC013119</t>
  </si>
  <si>
    <t>KNGGBK6X1JK014963</t>
  </si>
  <si>
    <t>KNGGBK6X1JK015098</t>
  </si>
  <si>
    <t>KNGGBK6X1JK014966</t>
  </si>
  <si>
    <t>KNGGBK6X1JK015099</t>
  </si>
  <si>
    <t>KNGGBK1X1KK016692</t>
  </si>
  <si>
    <t>KMJKG18KPHC013118</t>
  </si>
  <si>
    <t>KMJKG18KPHC013120</t>
  </si>
  <si>
    <t>KNGGBK6X1JK014964</t>
  </si>
  <si>
    <t>KNGGBK6X1JK014965</t>
  </si>
  <si>
    <t>KNGGBK6X1JK014967</t>
  </si>
  <si>
    <t>말소</t>
    <phoneticPr fontId="36" type="noConversion"/>
  </si>
  <si>
    <t>거치 유형 및 영수증 보유 현황</t>
  </si>
  <si>
    <t>① 거치 유형별 수량</t>
  </si>
  <si>
    <t>구분</t>
  </si>
  <si>
    <t>설명</t>
  </si>
  <si>
    <t>수량</t>
  </si>
  <si>
    <t>비율</t>
  </si>
  <si>
    <t>A</t>
  </si>
  <si>
    <t>기본</t>
    <phoneticPr fontId="36" type="noConversion"/>
  </si>
  <si>
    <t>B</t>
  </si>
  <si>
    <t>운전석 ㄱ자 브라켓, 대시보드 앞 표출기</t>
    <phoneticPr fontId="36" type="noConversion"/>
  </si>
  <si>
    <t>C</t>
  </si>
  <si>
    <t>격벽 스틸 브라켓, 운전석 우측 표출기</t>
    <phoneticPr fontId="36" type="noConversion"/>
  </si>
  <si>
    <t>합계</t>
  </si>
  <si>
    <t>② 영수증 있음</t>
  </si>
  <si>
    <t>업체명</t>
  </si>
  <si>
    <t>한국공항리무진</t>
  </si>
  <si>
    <r>
      <rPr>
        <b/>
        <sz val="15"/>
        <color rgb="FF23272E"/>
        <rFont val="Noto Sans CJK SC"/>
        <family val="2"/>
      </rPr>
      <t xml:space="preserve">프로젝트 안내 </t>
    </r>
    <r>
      <rPr>
        <b/>
        <sz val="15"/>
        <color rgb="FF23272E"/>
        <rFont val="맑은 고딕"/>
        <family val="3"/>
        <charset val="129"/>
      </rPr>
      <t xml:space="preserve">· </t>
    </r>
    <r>
      <rPr>
        <b/>
        <sz val="15"/>
        <color rgb="FF23272E"/>
        <rFont val="Noto Sans CJK SC"/>
        <family val="2"/>
      </rPr>
      <t>일정 요약</t>
    </r>
  </si>
  <si>
    <t>설정</t>
  </si>
  <si>
    <t>구 분</t>
  </si>
  <si>
    <t>설 명</t>
  </si>
  <si>
    <t>값</t>
  </si>
  <si>
    <t>전체 차량</t>
  </si>
  <si>
    <r>
      <rPr>
        <sz val="9"/>
        <color rgb="FF6B7280"/>
        <rFont val="Noto Sans CJK SC"/>
        <family val="2"/>
      </rPr>
      <t xml:space="preserve">차량리스트 기준 </t>
    </r>
    <r>
      <rPr>
        <sz val="9"/>
        <color rgb="FF6B7280"/>
        <rFont val="맑은 고딕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>자동</t>
    </r>
  </si>
  <si>
    <t>보고 기준일</t>
  </si>
  <si>
    <r>
      <rPr>
        <sz val="9"/>
        <color rgb="FF6B7280"/>
        <rFont val="Noto Sans CJK SC"/>
        <family val="2"/>
      </rPr>
      <t>실사</t>
    </r>
    <r>
      <rPr>
        <sz val="9"/>
        <color rgb="FF6B7280"/>
        <rFont val="맑은 고딕"/>
        <family val="3"/>
        <charset val="129"/>
      </rPr>
      <t>·</t>
    </r>
    <r>
      <rPr>
        <sz val="9"/>
        <color rgb="FF6B7280"/>
        <rFont val="Noto Sans CJK SC"/>
        <family val="2"/>
      </rPr>
      <t>설치 진행현황이 이 날짜 기준으로 계산</t>
    </r>
  </si>
  <si>
    <r>
      <rPr>
        <b/>
        <sz val="9"/>
        <color rgb="FF2F4A73"/>
        <rFont val="Noto Sans CJK SC"/>
        <family val="2"/>
      </rPr>
      <t xml:space="preserve">실사 대상 </t>
    </r>
    <r>
      <rPr>
        <b/>
        <sz val="9"/>
        <color rgb="FF2F4A73"/>
        <rFont val="맑은 고딕"/>
        <family val="3"/>
        <charset val="129"/>
      </rPr>
      <t xml:space="preserve">/ </t>
    </r>
    <r>
      <rPr>
        <b/>
        <sz val="9"/>
        <color rgb="FF2F4A73"/>
        <rFont val="Noto Sans CJK SC"/>
        <family val="2"/>
      </rPr>
      <t>기간</t>
    </r>
  </si>
  <si>
    <r>
      <rPr>
        <sz val="9"/>
        <color rgb="FF6B7280"/>
        <rFont val="Noto Sans CJK SC"/>
        <family val="2"/>
      </rPr>
      <t xml:space="preserve">전 운수사 </t>
    </r>
    <r>
      <rPr>
        <sz val="9"/>
        <color rgb="FF6B7280"/>
        <rFont val="맑은 고딕"/>
        <family val="3"/>
        <charset val="129"/>
      </rPr>
      <t>4</t>
    </r>
    <r>
      <rPr>
        <sz val="9"/>
        <color rgb="FF6B7280"/>
        <rFont val="Noto Sans CJK SC"/>
        <family val="2"/>
      </rPr>
      <t>곳</t>
    </r>
  </si>
  <si>
    <r>
      <rPr>
        <b/>
        <sz val="9"/>
        <color rgb="FF8C1D2E"/>
        <rFont val="Noto Sans CJK SC"/>
        <family val="2"/>
      </rPr>
      <t xml:space="preserve">설치 대상 </t>
    </r>
    <r>
      <rPr>
        <b/>
        <sz val="9"/>
        <color rgb="FF8C1D2E"/>
        <rFont val="맑은 고딕"/>
        <family val="3"/>
        <charset val="129"/>
      </rPr>
      <t xml:space="preserve">/ </t>
    </r>
    <r>
      <rPr>
        <b/>
        <sz val="9"/>
        <color rgb="FF8C1D2E"/>
        <rFont val="Noto Sans CJK SC"/>
        <family val="2"/>
      </rPr>
      <t>기간</t>
    </r>
  </si>
  <si>
    <t>공항리무진(본사·인천) → 서울버스 본사(서울공항리무진) → 한국공항리무진 순 · 평일 근무(월~금)</t>
    <phoneticPr fontId="36" type="noConversion"/>
  </si>
  <si>
    <t>382대  ·  시범 11-05 · 본설치 11-13 ~ 12-10</t>
    <phoneticPr fontId="36" type="noConversion"/>
  </si>
  <si>
    <t>설치 제외</t>
  </si>
  <si>
    <t>없음 — 서울버스 본사(장지동 차고지) 87대도 설치 대상에 포함</t>
    <phoneticPr fontId="36" type="noConversion"/>
  </si>
  <si>
    <t>–</t>
  </si>
  <si>
    <r>
      <rPr>
        <b/>
        <sz val="10"/>
        <color rgb="FF2F4A73"/>
        <rFont val="Noto Sans CJK SC"/>
        <family val="2"/>
      </rPr>
      <t xml:space="preserve">실사 일정 </t>
    </r>
    <r>
      <rPr>
        <b/>
        <sz val="10"/>
        <color rgb="FF2F4A73"/>
        <rFont val="맑은 고딕"/>
        <family val="3"/>
        <charset val="129"/>
      </rPr>
      <t>(</t>
    </r>
    <r>
      <rPr>
        <b/>
        <sz val="10"/>
        <color rgb="FF2F4A73"/>
        <rFont val="Noto Sans CJK SC"/>
        <family val="2"/>
      </rPr>
      <t xml:space="preserve">전 운수사 </t>
    </r>
    <r>
      <rPr>
        <b/>
        <sz val="10"/>
        <color rgb="FF2F4A73"/>
        <rFont val="맑은 고딕"/>
        <family val="3"/>
        <charset val="129"/>
      </rPr>
      <t>382</t>
    </r>
    <r>
      <rPr>
        <b/>
        <sz val="10"/>
        <color rgb="FF2F4A73"/>
        <rFont val="Noto Sans CJK SC"/>
        <family val="2"/>
      </rPr>
      <t xml:space="preserve">대 </t>
    </r>
    <r>
      <rPr>
        <b/>
        <sz val="10"/>
        <color rgb="FF2F4A73"/>
        <rFont val="맑은 고딕"/>
        <family val="3"/>
        <charset val="129"/>
      </rPr>
      <t xml:space="preserve">· 8/6 ~ 8/14 · </t>
    </r>
    <r>
      <rPr>
        <b/>
        <sz val="10"/>
        <color rgb="FF2F4A73"/>
        <rFont val="Noto Sans CJK SC"/>
        <family val="2"/>
      </rPr>
      <t>월</t>
    </r>
    <r>
      <rPr>
        <b/>
        <sz val="10"/>
        <color rgb="FF2F4A73"/>
        <rFont val="맑은 고딕"/>
        <family val="3"/>
        <charset val="129"/>
      </rPr>
      <t>~</t>
    </r>
    <r>
      <rPr>
        <b/>
        <sz val="10"/>
        <color rgb="FF2F4A73"/>
        <rFont val="Noto Sans CJK SC"/>
        <family val="2"/>
      </rPr>
      <t>금</t>
    </r>
    <r>
      <rPr>
        <b/>
        <sz val="10"/>
        <color rgb="FF2F4A73"/>
        <rFont val="맑은 고딕"/>
        <family val="3"/>
        <charset val="129"/>
      </rPr>
      <t>)</t>
    </r>
  </si>
  <si>
    <r>
      <rPr>
        <b/>
        <sz val="9"/>
        <color rgb="FF23272E"/>
        <rFont val="Noto Sans CJK SC"/>
        <family val="2"/>
      </rPr>
      <t xml:space="preserve">차고지 </t>
    </r>
    <r>
      <rPr>
        <b/>
        <sz val="9"/>
        <color rgb="FF23272E"/>
        <rFont val="맑은 고딕"/>
        <family val="3"/>
        <charset val="129"/>
      </rPr>
      <t xml:space="preserve">/ </t>
    </r>
    <r>
      <rPr>
        <b/>
        <sz val="9"/>
        <color rgb="FF23272E"/>
        <rFont val="Noto Sans CJK SC"/>
        <family val="2"/>
      </rPr>
      <t>운수사</t>
    </r>
  </si>
  <si>
    <t>계획 대수</t>
  </si>
  <si>
    <t>목</t>
  </si>
  <si>
    <t>금</t>
  </si>
  <si>
    <r>
      <rPr>
        <sz val="9"/>
        <color rgb="FF23272E"/>
        <rFont val="Noto Sans CJK SC"/>
        <family val="2"/>
      </rPr>
      <t xml:space="preserve">강서공영차고지 </t>
    </r>
    <r>
      <rPr>
        <sz val="9"/>
        <color rgb="FF23272E"/>
        <rFont val="맑은 고딕"/>
        <family val="3"/>
        <charset val="129"/>
      </rPr>
      <t>15</t>
    </r>
    <r>
      <rPr>
        <sz val="9"/>
        <color rgb="FF23272E"/>
        <rFont val="Noto Sans CJK SC"/>
        <family val="2"/>
      </rPr>
      <t xml:space="preserve">대 </t>
    </r>
    <r>
      <rPr>
        <sz val="9"/>
        <color rgb="FF23272E"/>
        <rFont val="맑은 고딕"/>
        <family val="3"/>
        <charset val="129"/>
      </rPr>
      <t xml:space="preserve">+ </t>
    </r>
    <r>
      <rPr>
        <sz val="9"/>
        <color rgb="FF23272E"/>
        <rFont val="Noto Sans CJK SC"/>
        <family val="2"/>
      </rPr>
      <t xml:space="preserve">공항동 차고지 </t>
    </r>
    <r>
      <rPr>
        <sz val="9"/>
        <color rgb="FF23272E"/>
        <rFont val="맑은 고딕"/>
        <family val="3"/>
        <charset val="129"/>
      </rPr>
      <t>51</t>
    </r>
    <r>
      <rPr>
        <sz val="9"/>
        <color rgb="FF23272E"/>
        <rFont val="Noto Sans CJK SC"/>
        <family val="2"/>
      </rPr>
      <t>대</t>
    </r>
  </si>
  <si>
    <t>월</t>
  </si>
  <si>
    <t>화</t>
  </si>
  <si>
    <t>수</t>
  </si>
  <si>
    <t>설치 일정 (4개사 382대 · 시범 11/5 + 본설치 11/13 ~ 12/10 · 평일 월~금)</t>
    <phoneticPr fontId="36" type="noConversion"/>
  </si>
  <si>
    <t>목</t>
    <phoneticPr fontId="36" type="noConversion"/>
  </si>
  <si>
    <t>강서공영차고지</t>
    <phoneticPr fontId="36" type="noConversion"/>
  </si>
  <si>
    <t>금</t>
    <phoneticPr fontId="36" type="noConversion"/>
  </si>
  <si>
    <t>월</t>
    <phoneticPr fontId="36" type="noConversion"/>
  </si>
  <si>
    <t>화</t>
    <phoneticPr fontId="36" type="noConversion"/>
  </si>
  <si>
    <t>수</t>
    <phoneticPr fontId="36" type="noConversion"/>
  </si>
  <si>
    <t>입력 규칙 — 연노란색 셀만 입력</t>
  </si>
  <si>
    <t>시트</t>
  </si>
  <si>
    <t>입력 항목</t>
  </si>
  <si>
    <t>입력 방법</t>
  </si>
  <si>
    <t>연동 결과</t>
  </si>
  <si>
    <t>차량리스트</t>
  </si>
  <si>
    <r>
      <rPr>
        <b/>
        <sz val="8.5"/>
        <color rgb="FF23272E"/>
        <rFont val="Noto Sans CJK SC"/>
        <family val="2"/>
      </rPr>
      <t xml:space="preserve">실사 완료여부 </t>
    </r>
    <r>
      <rPr>
        <b/>
        <sz val="8.5"/>
        <color rgb="FF23272E"/>
        <rFont val="맑은 고딕"/>
        <family val="3"/>
        <charset val="129"/>
      </rPr>
      <t>(H)</t>
    </r>
  </si>
  <si>
    <r>
      <rPr>
        <sz val="8.5"/>
        <color rgb="FF6B7280"/>
        <rFont val="Noto Sans CJK SC"/>
        <family val="2"/>
      </rPr>
      <t xml:space="preserve">드롭다운 완료 </t>
    </r>
    <r>
      <rPr>
        <sz val="8.5"/>
        <color rgb="FF6B7280"/>
        <rFont val="맑은 고딕"/>
        <family val="3"/>
        <charset val="129"/>
      </rPr>
      <t xml:space="preserve">/ </t>
    </r>
    <r>
      <rPr>
        <sz val="8.5"/>
        <color rgb="FF6B7280"/>
        <rFont val="Noto Sans CJK SC"/>
        <family val="2"/>
      </rPr>
      <t xml:space="preserve">미완료 </t>
    </r>
    <r>
      <rPr>
        <sz val="8.5"/>
        <color rgb="FF6B7280"/>
        <rFont val="맑은 고딕"/>
        <family val="3"/>
        <charset val="129"/>
      </rPr>
      <t xml:space="preserve">/ </t>
    </r>
    <r>
      <rPr>
        <sz val="8.5"/>
        <color rgb="FF6B7280"/>
        <rFont val="Noto Sans CJK SC"/>
        <family val="2"/>
      </rPr>
      <t>보류</t>
    </r>
  </si>
  <si>
    <r>
      <rPr>
        <sz val="8.5"/>
        <color rgb="FF6B7280"/>
        <rFont val="Noto Sans CJK SC"/>
        <family val="2"/>
      </rPr>
      <t xml:space="preserve">실사 </t>
    </r>
    <r>
      <rPr>
        <sz val="8.5"/>
        <color rgb="FF6B7280"/>
        <rFont val="맑은 고딕"/>
        <family val="3"/>
        <charset val="129"/>
      </rPr>
      <t>3</t>
    </r>
    <r>
      <rPr>
        <sz val="8.5"/>
        <color rgb="FF6B7280"/>
        <rFont val="Noto Sans CJK SC"/>
        <family val="2"/>
      </rPr>
      <t>종 시트 전체 실적</t>
    </r>
  </si>
  <si>
    <r>
      <rPr>
        <b/>
        <sz val="8.5"/>
        <color rgb="FF23272E"/>
        <rFont val="Noto Sans CJK SC"/>
        <family val="2"/>
      </rPr>
      <t xml:space="preserve">실사 완료일 </t>
    </r>
    <r>
      <rPr>
        <b/>
        <sz val="8.5"/>
        <color rgb="FF23272E"/>
        <rFont val="맑은 고딕"/>
        <family val="3"/>
        <charset val="129"/>
      </rPr>
      <t>(I)</t>
    </r>
  </si>
  <si>
    <t>실사 완료일자 입력</t>
  </si>
  <si>
    <r>
      <rPr>
        <sz val="8.5"/>
        <color rgb="FF6B7280"/>
        <rFont val="Noto Sans CJK SC"/>
        <family val="2"/>
      </rPr>
      <t xml:space="preserve">실사 일자별 실적 </t>
    </r>
    <r>
      <rPr>
        <sz val="8.5"/>
        <color rgb="FF6B7280"/>
        <rFont val="맑은 고딕"/>
        <family val="3"/>
        <charset val="129"/>
      </rPr>
      <t>· S-Curve</t>
    </r>
  </si>
  <si>
    <r>
      <rPr>
        <b/>
        <sz val="8.5"/>
        <color rgb="FF23272E"/>
        <rFont val="Noto Sans CJK SC"/>
        <family val="2"/>
      </rPr>
      <t xml:space="preserve">설치 대상 </t>
    </r>
    <r>
      <rPr>
        <b/>
        <sz val="8.5"/>
        <color rgb="FF23272E"/>
        <rFont val="맑은 고딕"/>
        <family val="3"/>
        <charset val="129"/>
      </rPr>
      <t>(J)</t>
    </r>
  </si>
  <si>
    <r>
      <rPr>
        <sz val="8.5"/>
        <color rgb="FF6B7280"/>
        <rFont val="Noto Sans CJK SC"/>
        <family val="2"/>
      </rPr>
      <t xml:space="preserve">드롭다운 대상 </t>
    </r>
    <r>
      <rPr>
        <sz val="8.5"/>
        <color rgb="FF6B7280"/>
        <rFont val="맑은 고딕"/>
        <family val="3"/>
        <charset val="129"/>
      </rPr>
      <t xml:space="preserve">/ </t>
    </r>
    <r>
      <rPr>
        <sz val="8.5"/>
        <color rgb="FF6B7280"/>
        <rFont val="Noto Sans CJK SC"/>
        <family val="2"/>
      </rPr>
      <t>제외</t>
    </r>
  </si>
  <si>
    <t>설치 3종 시트 모집단(현재 382대)</t>
    <phoneticPr fontId="36" type="noConversion"/>
  </si>
  <si>
    <r>
      <rPr>
        <b/>
        <sz val="8.5"/>
        <color rgb="FF23272E"/>
        <rFont val="Noto Sans CJK SC"/>
        <family val="2"/>
      </rPr>
      <t xml:space="preserve">설치 예정일 </t>
    </r>
    <r>
      <rPr>
        <b/>
        <sz val="8.5"/>
        <color rgb="FF23272E"/>
        <rFont val="맑은 고딕"/>
        <family val="3"/>
        <charset val="129"/>
      </rPr>
      <t>(K)</t>
    </r>
  </si>
  <si>
    <r>
      <rPr>
        <sz val="8.5"/>
        <color rgb="FF6B7280"/>
        <rFont val="Noto Sans CJK SC"/>
        <family val="2"/>
      </rPr>
      <t>배정된 날짜</t>
    </r>
    <r>
      <rPr>
        <sz val="8.5"/>
        <color rgb="FF6B7280"/>
        <rFont val="맑은 고딕"/>
        <family val="3"/>
        <charset val="129"/>
      </rPr>
      <t xml:space="preserve">. </t>
    </r>
    <r>
      <rPr>
        <sz val="8.5"/>
        <color rgb="FF6B7280"/>
        <rFont val="Noto Sans CJK SC"/>
        <family val="2"/>
      </rPr>
      <t>차량별 조정 시 날짜 덮어쓰기</t>
    </r>
  </si>
  <si>
    <t>설치 전개일정 계획</t>
  </si>
  <si>
    <r>
      <rPr>
        <b/>
        <sz val="8.5"/>
        <color rgb="FF23272E"/>
        <rFont val="Noto Sans CJK SC"/>
        <family val="2"/>
      </rPr>
      <t xml:space="preserve">설치 완료여부 </t>
    </r>
    <r>
      <rPr>
        <b/>
        <sz val="8.5"/>
        <color rgb="FF23272E"/>
        <rFont val="맑은 고딕"/>
        <family val="3"/>
        <charset val="129"/>
      </rPr>
      <t>(L)</t>
    </r>
  </si>
  <si>
    <t>설치 전체 실적</t>
  </si>
  <si>
    <r>
      <rPr>
        <b/>
        <sz val="8.5"/>
        <color rgb="FF23272E"/>
        <rFont val="Noto Sans CJK SC"/>
        <family val="2"/>
      </rPr>
      <t xml:space="preserve">설치 완료일 </t>
    </r>
    <r>
      <rPr>
        <b/>
        <sz val="8.5"/>
        <color rgb="FF23272E"/>
        <rFont val="맑은 고딕"/>
        <family val="3"/>
        <charset val="129"/>
      </rPr>
      <t>(M)</t>
    </r>
  </si>
  <si>
    <t>설치 완료일자 입력</t>
  </si>
  <si>
    <r>
      <rPr>
        <sz val="8.5"/>
        <color rgb="FF6B7280"/>
        <rFont val="Noto Sans CJK SC"/>
        <family val="2"/>
      </rPr>
      <t xml:space="preserve">설치 일자별 실적 </t>
    </r>
    <r>
      <rPr>
        <sz val="8.5"/>
        <color rgb="FF6B7280"/>
        <rFont val="맑은 고딕"/>
        <family val="3"/>
        <charset val="129"/>
      </rPr>
      <t>· S-Curve</t>
    </r>
  </si>
  <si>
    <t>안내</t>
  </si>
  <si>
    <r>
      <rPr>
        <b/>
        <sz val="8.5"/>
        <color rgb="FF23272E"/>
        <rFont val="Noto Sans CJK SC"/>
        <family val="2"/>
      </rPr>
      <t xml:space="preserve">보고 기준일 </t>
    </r>
    <r>
      <rPr>
        <b/>
        <sz val="8.5"/>
        <color rgb="FF23272E"/>
        <rFont val="맑은 고딕"/>
        <family val="3"/>
        <charset val="129"/>
      </rPr>
      <t>(C6)</t>
    </r>
  </si>
  <si>
    <r>
      <rPr>
        <sz val="8.5"/>
        <color rgb="FF6B7280"/>
        <rFont val="Noto Sans CJK SC"/>
        <family val="2"/>
      </rPr>
      <t>기본값 오늘</t>
    </r>
    <r>
      <rPr>
        <sz val="8.5"/>
        <color rgb="FF6B7280"/>
        <rFont val="맑은 고딕"/>
        <family val="3"/>
        <charset val="129"/>
      </rPr>
      <t xml:space="preserve">. </t>
    </r>
    <r>
      <rPr>
        <sz val="8.5"/>
        <color rgb="FF6B7280"/>
        <rFont val="Noto Sans CJK SC"/>
        <family val="2"/>
      </rPr>
      <t>특정일 기준 보고 시 날짜 입력</t>
    </r>
  </si>
  <si>
    <r>
      <rPr>
        <sz val="8.5"/>
        <color rgb="FF6B7280"/>
        <rFont val="Noto Sans CJK SC"/>
        <family val="2"/>
      </rPr>
      <t>진행현황 금일</t>
    </r>
    <r>
      <rPr>
        <sz val="8.5"/>
        <color rgb="FF6B7280"/>
        <rFont val="맑은 고딕"/>
        <family val="3"/>
        <charset val="129"/>
      </rPr>
      <t>/</t>
    </r>
    <r>
      <rPr>
        <sz val="8.5"/>
        <color rgb="FF6B7280"/>
        <rFont val="Noto Sans CJK SC"/>
        <family val="2"/>
      </rPr>
      <t>누적 실적 및 상태</t>
    </r>
  </si>
  <si>
    <t>진행현황</t>
  </si>
  <si>
    <r>
      <rPr>
        <b/>
        <sz val="8.5"/>
        <color rgb="FF23272E"/>
        <rFont val="Noto Sans CJK SC"/>
        <family val="2"/>
      </rPr>
      <t xml:space="preserve">비고 </t>
    </r>
    <r>
      <rPr>
        <b/>
        <sz val="8.5"/>
        <color rgb="FF23272E"/>
        <rFont val="맑은 고딕"/>
        <family val="3"/>
        <charset val="129"/>
      </rPr>
      <t>(A6)</t>
    </r>
  </si>
  <si>
    <t>보고용 특이사항 자유 입력</t>
  </si>
  <si>
    <r>
      <rPr>
        <b/>
        <sz val="10"/>
        <color rgb="FF23272E"/>
        <rFont val="Noto Sans CJK SC"/>
        <family val="2"/>
      </rPr>
      <t xml:space="preserve">색상 </t>
    </r>
    <r>
      <rPr>
        <b/>
        <sz val="10"/>
        <color rgb="FF23272E"/>
        <rFont val="맑은 고딕"/>
        <family val="3"/>
        <charset val="129"/>
      </rPr>
      <t xml:space="preserve">· </t>
    </r>
    <r>
      <rPr>
        <b/>
        <sz val="10"/>
        <color rgb="FF23272E"/>
        <rFont val="Noto Sans CJK SC"/>
        <family val="2"/>
      </rPr>
      <t>표기 범례</t>
    </r>
  </si>
  <si>
    <r>
      <rPr>
        <sz val="9"/>
        <color rgb="FF6B7280"/>
        <rFont val="Noto Sans CJK SC"/>
        <family val="2"/>
      </rPr>
      <t xml:space="preserve">실사 시트 </t>
    </r>
    <r>
      <rPr>
        <sz val="9"/>
        <color rgb="FF6B7280"/>
        <rFont val="맑은 고딕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 xml:space="preserve">실사 관련 열 </t>
    </r>
    <r>
      <rPr>
        <sz val="9"/>
        <color rgb="FF6B7280"/>
        <rFont val="맑은 고딕"/>
        <family val="3"/>
        <charset val="129"/>
      </rPr>
      <t>(</t>
    </r>
    <r>
      <rPr>
        <sz val="9"/>
        <color rgb="FF6B7280"/>
        <rFont val="Noto Sans CJK SC"/>
        <family val="2"/>
      </rPr>
      <t>탭 색 네이비</t>
    </r>
    <r>
      <rPr>
        <sz val="9"/>
        <color rgb="FF6B7280"/>
        <rFont val="맑은 고딕"/>
        <family val="3"/>
        <charset val="129"/>
      </rPr>
      <t>)</t>
    </r>
  </si>
  <si>
    <r>
      <rPr>
        <sz val="9"/>
        <color rgb="FF6B7280"/>
        <rFont val="Noto Sans CJK SC"/>
        <family val="2"/>
      </rPr>
      <t xml:space="preserve">설치 시트 </t>
    </r>
    <r>
      <rPr>
        <sz val="9"/>
        <color rgb="FF6B7280"/>
        <rFont val="맑은 고딕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 xml:space="preserve">설치 관련 열 </t>
    </r>
    <r>
      <rPr>
        <sz val="9"/>
        <color rgb="FF6B7280"/>
        <rFont val="맑은 고딕"/>
        <family val="3"/>
        <charset val="129"/>
      </rPr>
      <t>(</t>
    </r>
    <r>
      <rPr>
        <sz val="9"/>
        <color rgb="FF6B7280"/>
        <rFont val="Noto Sans CJK SC"/>
        <family val="2"/>
      </rPr>
      <t>탭 색 크림슨</t>
    </r>
    <r>
      <rPr>
        <sz val="9"/>
        <color rgb="FF6B7280"/>
        <rFont val="맑은 고딕"/>
        <family val="3"/>
        <charset val="129"/>
      </rPr>
      <t>)</t>
    </r>
  </si>
  <si>
    <t>입력 셀</t>
  </si>
  <si>
    <t>담당자가 직접 입력하는 칸</t>
  </si>
  <si>
    <r>
      <rPr>
        <sz val="9"/>
        <color rgb="FF6B7280"/>
        <rFont val="Noto Sans CJK SC"/>
        <family val="2"/>
      </rPr>
      <t xml:space="preserve">해당 공정 완료여부 </t>
    </r>
    <r>
      <rPr>
        <sz val="9"/>
        <color rgb="FF6B7280"/>
        <rFont val="맑은 고딕"/>
        <family val="3"/>
        <charset val="129"/>
      </rPr>
      <t xml:space="preserve">= </t>
    </r>
    <r>
      <rPr>
        <sz val="9"/>
        <color rgb="FF6B7280"/>
        <rFont val="Noto Sans CJK SC"/>
        <family val="2"/>
      </rPr>
      <t>완료</t>
    </r>
  </si>
  <si>
    <t>지연</t>
  </si>
  <si>
    <r>
      <rPr>
        <sz val="9"/>
        <color rgb="FF6B7280"/>
        <rFont val="Noto Sans CJK SC"/>
        <family val="2"/>
      </rPr>
      <t xml:space="preserve">예정일 경과 </t>
    </r>
    <r>
      <rPr>
        <sz val="9"/>
        <color rgb="FF6B7280"/>
        <rFont val="맑은 고딕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>미완료</t>
    </r>
  </si>
  <si>
    <t>제외</t>
  </si>
  <si>
    <r>
      <rPr>
        <sz val="9"/>
        <color rgb="FF6B7280"/>
        <rFont val="Noto Sans CJK SC"/>
        <family val="2"/>
      </rPr>
      <t xml:space="preserve">설치 대상 아님 </t>
    </r>
    <r>
      <rPr>
        <sz val="9"/>
        <color rgb="FF6B7280"/>
        <rFont val="맑은 고딕"/>
        <family val="3"/>
        <charset val="129"/>
      </rPr>
      <t>(</t>
    </r>
    <r>
      <rPr>
        <sz val="9"/>
        <color rgb="FF6B7280"/>
        <rFont val="Noto Sans CJK SC"/>
        <family val="2"/>
      </rPr>
      <t>서울버스 본사</t>
    </r>
    <r>
      <rPr>
        <sz val="9"/>
        <color rgb="FF6B7280"/>
        <rFont val="맑은 고딕"/>
        <family val="3"/>
        <charset val="129"/>
      </rPr>
      <t>)</t>
    </r>
  </si>
  <si>
    <r>
      <rPr>
        <sz val="9"/>
        <color rgb="FF6B7280"/>
        <rFont val="Noto Sans CJK SC"/>
        <family val="2"/>
      </rPr>
      <t xml:space="preserve">값이 </t>
    </r>
    <r>
      <rPr>
        <sz val="9"/>
        <color rgb="FF6B7280"/>
        <rFont val="맑은 고딕"/>
        <family val="3"/>
        <charset val="129"/>
      </rPr>
      <t>0</t>
    </r>
    <r>
      <rPr>
        <sz val="9"/>
        <color rgb="FF6B7280"/>
        <rFont val="Noto Sans CJK SC"/>
        <family val="2"/>
      </rPr>
      <t>이거나 해당 없음</t>
    </r>
  </si>
  <si>
    <t>일정 수립 근거</t>
  </si>
  <si>
    <r>
      <rPr>
        <sz val="8.5"/>
        <color rgb="FF6B7280"/>
        <rFont val="맑은 고딕"/>
        <family val="3"/>
        <charset val="129"/>
      </rPr>
      <t xml:space="preserve">·  </t>
    </r>
    <r>
      <rPr>
        <sz val="8.5"/>
        <color rgb="FF6B7280"/>
        <rFont val="Noto Sans CJK SC"/>
        <family val="2"/>
      </rPr>
      <t xml:space="preserve">실사 — </t>
    </r>
    <r>
      <rPr>
        <sz val="8.5"/>
        <color rgb="FF6B7280"/>
        <rFont val="맑은 고딕"/>
        <family val="3"/>
        <charset val="129"/>
      </rPr>
      <t>382</t>
    </r>
    <r>
      <rPr>
        <sz val="8.5"/>
        <color rgb="FF6B7280"/>
        <rFont val="Noto Sans CJK SC"/>
        <family val="2"/>
      </rPr>
      <t xml:space="preserve">대를 영업일 </t>
    </r>
    <r>
      <rPr>
        <sz val="8.5"/>
        <color rgb="FF6B7280"/>
        <rFont val="맑은 고딕"/>
        <family val="3"/>
        <charset val="129"/>
      </rPr>
      <t>7</t>
    </r>
    <r>
      <rPr>
        <sz val="8.5"/>
        <color rgb="FF6B7280"/>
        <rFont val="Noto Sans CJK SC"/>
        <family val="2"/>
      </rPr>
      <t>일</t>
    </r>
    <r>
      <rPr>
        <sz val="8.5"/>
        <color rgb="FF6B7280"/>
        <rFont val="맑은 고딕"/>
        <family val="3"/>
        <charset val="129"/>
      </rPr>
      <t>(8/6~8/14)</t>
    </r>
    <r>
      <rPr>
        <sz val="8.5"/>
        <color rgb="FF6B7280"/>
        <rFont val="Noto Sans CJK SC"/>
        <family val="2"/>
      </rPr>
      <t>에 배분</t>
    </r>
    <r>
      <rPr>
        <sz val="8.5"/>
        <color rgb="FF6B7280"/>
        <rFont val="맑은 고딕"/>
        <family val="3"/>
        <charset val="129"/>
      </rPr>
      <t xml:space="preserve">, </t>
    </r>
    <r>
      <rPr>
        <sz val="8.5"/>
        <color rgb="FF6B7280"/>
        <rFont val="Noto Sans CJK SC"/>
        <family val="2"/>
      </rPr>
      <t xml:space="preserve">일평균 </t>
    </r>
    <r>
      <rPr>
        <sz val="8.5"/>
        <color rgb="FF6B7280"/>
        <rFont val="맑은 고딕"/>
        <family val="3"/>
        <charset val="129"/>
      </rPr>
      <t>54.6</t>
    </r>
    <r>
      <rPr>
        <sz val="8.5"/>
        <color rgb="FF6B7280"/>
        <rFont val="Noto Sans CJK SC"/>
        <family val="2"/>
      </rPr>
      <t>대</t>
    </r>
    <r>
      <rPr>
        <sz val="8.5"/>
        <color rgb="FF6B7280"/>
        <rFont val="맑은 고딕"/>
        <family val="3"/>
        <charset val="129"/>
      </rPr>
      <t xml:space="preserve">. </t>
    </r>
    <r>
      <rPr>
        <sz val="8.5"/>
        <color rgb="FF6B7280"/>
        <rFont val="Noto Sans CJK SC"/>
        <family val="2"/>
      </rPr>
      <t>차고지 단위 순회 유지</t>
    </r>
  </si>
  <si>
    <r>
      <rPr>
        <sz val="8.5"/>
        <color rgb="FF6B7280"/>
        <rFont val="맑은 고딕"/>
        <family val="3"/>
        <charset val="129"/>
      </rPr>
      <t xml:space="preserve">·  </t>
    </r>
    <r>
      <rPr>
        <sz val="8.5"/>
        <color rgb="FF6B7280"/>
        <rFont val="Noto Sans CJK SC"/>
        <family val="2"/>
      </rPr>
      <t>강서공영차고지</t>
    </r>
    <r>
      <rPr>
        <sz val="8.5"/>
        <color rgb="FF6B7280"/>
        <rFont val="맑은 고딕"/>
        <family val="3"/>
        <charset val="129"/>
      </rPr>
      <t>·</t>
    </r>
    <r>
      <rPr>
        <sz val="8.5"/>
        <color rgb="FF6B7280"/>
        <rFont val="Noto Sans CJK SC"/>
        <family val="2"/>
      </rPr>
      <t xml:space="preserve">공항동 차고지는 모두 강서구 소재로 </t>
    </r>
    <r>
      <rPr>
        <sz val="8.5"/>
        <color rgb="FF6B7280"/>
        <rFont val="맑은 고딕"/>
        <family val="3"/>
        <charset val="129"/>
      </rPr>
      <t xml:space="preserve">8/7 </t>
    </r>
    <r>
      <rPr>
        <sz val="8.5"/>
        <color rgb="FF6B7280"/>
        <rFont val="Noto Sans CJK SC"/>
        <family val="2"/>
      </rPr>
      <t xml:space="preserve">하루에 연속 배치 </t>
    </r>
    <r>
      <rPr>
        <sz val="8.5"/>
        <color rgb="FF6B7280"/>
        <rFont val="맑은 고딕"/>
        <family val="3"/>
        <charset val="129"/>
      </rPr>
      <t>(</t>
    </r>
    <r>
      <rPr>
        <sz val="8.5"/>
        <color rgb="FF6B7280"/>
        <rFont val="Noto Sans CJK SC"/>
        <family val="2"/>
      </rPr>
      <t>이동거리 최소화</t>
    </r>
    <r>
      <rPr>
        <sz val="8.5"/>
        <color rgb="FF6B7280"/>
        <rFont val="맑은 고딕"/>
        <family val="3"/>
        <charset val="129"/>
      </rPr>
      <t>)</t>
    </r>
  </si>
  <si>
    <t>·  설치 — 시범설치 11/5 공항리무진 10대(강서), 본설치 372대를 평일(월~금)에 배분 · 공항리무진 11/13~11/25, 서울버스 11/26~11/30, 한국공항리무진 12/7~12/10 · 일 12~29대</t>
    <phoneticPr fontId="36" type="noConversion"/>
  </si>
  <si>
    <t>·  설치 순서: 공항리무진(본사→인천공항영업소) → 서울버스 본사(서울공항리무진) → 한국공항리무진 본사 · 차량리스트 J열 전량 "대상"</t>
    <phoneticPr fontId="36" type="noConversion"/>
  </si>
  <si>
    <r>
      <rPr>
        <sz val="8.5"/>
        <color rgb="FF6B7280"/>
        <rFont val="맑은 고딕"/>
        <family val="3"/>
        <charset val="129"/>
      </rPr>
      <t xml:space="preserve">·  </t>
    </r>
    <r>
      <rPr>
        <sz val="8.5"/>
        <color rgb="FF6B7280"/>
        <rFont val="Noto Sans CJK SC"/>
        <family val="2"/>
      </rPr>
      <t xml:space="preserve">모든 수량은 차량리스트를 </t>
    </r>
    <r>
      <rPr>
        <sz val="8.5"/>
        <color rgb="FF6B7280"/>
        <rFont val="맑은 고딕"/>
        <family val="3"/>
        <charset val="129"/>
      </rPr>
      <t>SUMPRODUCT</t>
    </r>
    <r>
      <rPr>
        <sz val="8.5"/>
        <color rgb="FF6B7280"/>
        <rFont val="Noto Sans CJK SC"/>
        <family val="2"/>
      </rPr>
      <t>로 집계 — 하드코딩 수치 없음</t>
    </r>
  </si>
  <si>
    <r>
      <rPr>
        <sz val="8.5"/>
        <color rgb="FF6B7280"/>
        <rFont val="맑은 고딕"/>
        <family val="3"/>
        <charset val="129"/>
      </rPr>
      <t xml:space="preserve">·  </t>
    </r>
    <r>
      <rPr>
        <sz val="8.5"/>
        <color rgb="FF6B7280"/>
        <rFont val="Noto Sans CJK SC"/>
        <family val="2"/>
      </rPr>
      <t>노선명에 물결표</t>
    </r>
    <r>
      <rPr>
        <sz val="8.5"/>
        <color rgb="FF6B7280"/>
        <rFont val="맑은 고딕"/>
        <family val="3"/>
        <charset val="129"/>
      </rPr>
      <t>(~)</t>
    </r>
    <r>
      <rPr>
        <sz val="8.5"/>
        <color rgb="FF6B7280"/>
        <rFont val="Noto Sans CJK SC"/>
        <family val="2"/>
      </rPr>
      <t xml:space="preserve">가 포함되어 </t>
    </r>
    <r>
      <rPr>
        <sz val="8.5"/>
        <color rgb="FF6B7280"/>
        <rFont val="맑은 고딕"/>
        <family val="3"/>
        <charset val="129"/>
      </rPr>
      <t xml:space="preserve">COUNTIF </t>
    </r>
    <r>
      <rPr>
        <sz val="8.5"/>
        <color rgb="FF6B7280"/>
        <rFont val="Noto Sans CJK SC"/>
        <family val="2"/>
      </rPr>
      <t>계열은 와일드카드로 오인식 → 정확일치 방식 적용</t>
    </r>
  </si>
  <si>
    <t>공항버스 B800단말기 실사 진행현황</t>
  </si>
  <si>
    <t>대상 382대 · 운수사 4곳 전량 · 실사기간 2026-08-06 ~ 08-14 (영업일 7일 · 월~금)</t>
  </si>
  <si>
    <t>누 적 (계획 대비)</t>
  </si>
  <si>
    <t>공항버스 B800단말기 실사 일자별 계획 · 실적</t>
  </si>
  <si>
    <t>공항버스 B800단말기 실사 전개일정</t>
  </si>
  <si>
    <t>공항버스 B800단말기 설치 진행현황</t>
  </si>
  <si>
    <t>공항버스 B800단말기 설치 전개일정</t>
  </si>
  <si>
    <t>공항버스 B800단말기 설치 일자별 계획 · 실적</t>
  </si>
  <si>
    <t>저상/일반</t>
  </si>
  <si>
    <t>통합설치위치
(가능한곳)</t>
  </si>
  <si>
    <t>A형브라켓
설치 여부</t>
  </si>
  <si>
    <t>타코연동여부
(can)</t>
  </si>
  <si>
    <t>도어종류
(앞문)</t>
  </si>
  <si>
    <t>도어종류
(뒷문)</t>
  </si>
  <si>
    <t>케이블(봉)
매립여부</t>
  </si>
  <si>
    <t>초정밀
GPS</t>
  </si>
  <si>
    <t>6001번(동대문~인천공항)</t>
  </si>
  <si>
    <t>서울 강서구 개화동로8길 17</t>
  </si>
  <si>
    <t>서울70사8224</t>
  </si>
  <si>
    <t>6013번(광진)</t>
  </si>
  <si>
    <t>서울70사8233</t>
  </si>
  <si>
    <t>6014번(광명시)</t>
  </si>
  <si>
    <t>서울70사8235</t>
  </si>
  <si>
    <t>6017(호암교수회관~인천공항)</t>
  </si>
  <si>
    <t>서울70사8175</t>
  </si>
  <si>
    <t>6008번(인천공항T2~해군호텔)</t>
  </si>
  <si>
    <t>서울70사8231</t>
  </si>
  <si>
    <t>서울70사8234</t>
  </si>
  <si>
    <t>6002번(청량리)</t>
  </si>
  <si>
    <t>인천 중구 공항로 272</t>
  </si>
  <si>
    <t>N6002번(청량리역~인천공항T2)</t>
  </si>
  <si>
    <t>서울70사8238</t>
  </si>
  <si>
    <t>6015번(명동)</t>
  </si>
  <si>
    <t>서울70사8240</t>
  </si>
  <si>
    <t>N6000번(고속터미널~인천공항T2)</t>
  </si>
  <si>
    <t>서울70사8246</t>
  </si>
  <si>
    <t>서울70사8257</t>
  </si>
  <si>
    <t>서울70사8262</t>
  </si>
  <si>
    <t>서울70사8274</t>
  </si>
  <si>
    <t>서울70사8289</t>
  </si>
  <si>
    <t>6003번(대림역~인천공항)</t>
  </si>
  <si>
    <t>서울71사2283</t>
  </si>
  <si>
    <t>6014번(광명시)</t>
    <phoneticPr fontId="36" type="noConversion"/>
  </si>
  <si>
    <t>서울70사8237</t>
  </si>
  <si>
    <t>서울70사8239</t>
  </si>
  <si>
    <t>서울70사8241</t>
  </si>
  <si>
    <t>6018(목동)</t>
  </si>
  <si>
    <t>서울70사8248</t>
  </si>
  <si>
    <t>6007번(국회의사당.글래드호텔~인천공항)</t>
  </si>
  <si>
    <t>서울70사8256</t>
  </si>
  <si>
    <t>6010(왕십리)</t>
  </si>
  <si>
    <t>서울70사8261</t>
  </si>
  <si>
    <t>서울70사8264</t>
  </si>
  <si>
    <t>서울70사8279</t>
  </si>
  <si>
    <t>서울70사8290</t>
  </si>
  <si>
    <t>서울71사2279</t>
  </si>
  <si>
    <t>6016번(서초동)</t>
  </si>
  <si>
    <t>서울71사2282</t>
  </si>
  <si>
    <t>서울71사2288</t>
  </si>
  <si>
    <t>서울71사2314</t>
  </si>
  <si>
    <t>6030번(한남동~인천공항)</t>
  </si>
  <si>
    <t>서울71사2318</t>
  </si>
  <si>
    <t>6000번(잠실)</t>
  </si>
  <si>
    <t>서울71사2321</t>
  </si>
  <si>
    <t>서울71사2323</t>
  </si>
  <si>
    <t>서울71사2340</t>
  </si>
  <si>
    <t>서울71사2344</t>
  </si>
  <si>
    <t>서울71사2349</t>
  </si>
  <si>
    <t>6019(내방역)</t>
  </si>
  <si>
    <t>서울71사2355</t>
  </si>
  <si>
    <t>서울71사2366</t>
  </si>
  <si>
    <t>서울71사2372</t>
  </si>
  <si>
    <t>서울71사2284</t>
  </si>
  <si>
    <t>서울71사2315</t>
  </si>
  <si>
    <t>서울71사2320</t>
  </si>
  <si>
    <t>6012번(은평)</t>
  </si>
  <si>
    <t>서울71사2322</t>
  </si>
  <si>
    <t>서울71사2333</t>
  </si>
  <si>
    <t>서울71사2341</t>
  </si>
  <si>
    <t>서울71사2346</t>
  </si>
  <si>
    <t>서울71사2354</t>
  </si>
  <si>
    <t>서울71사2363</t>
  </si>
  <si>
    <t>서울71사2368</t>
  </si>
  <si>
    <t>서울71사2374</t>
  </si>
  <si>
    <t>서울71사2376</t>
  </si>
  <si>
    <t>서울71사2387</t>
  </si>
  <si>
    <t>서울71사2419</t>
  </si>
  <si>
    <t>서울71사2373</t>
  </si>
  <si>
    <t>서울71사2375</t>
  </si>
  <si>
    <t>서울71사2379</t>
  </si>
  <si>
    <t>서울71사2388</t>
  </si>
  <si>
    <t>서울71사2430</t>
  </si>
  <si>
    <t>서울71사2442</t>
  </si>
  <si>
    <t>서울71사2463</t>
  </si>
  <si>
    <t>서울71사2465</t>
  </si>
  <si>
    <t>서울75사1124</t>
  </si>
  <si>
    <t>서울75사1126</t>
  </si>
  <si>
    <t>서울75사1131</t>
  </si>
  <si>
    <t>서울71사2420</t>
  </si>
  <si>
    <t>서울71사2431</t>
  </si>
  <si>
    <t>서울71사2462</t>
  </si>
  <si>
    <t>서울71사2464</t>
  </si>
  <si>
    <t>서울75사1119</t>
  </si>
  <si>
    <t>서울75사1125</t>
  </si>
  <si>
    <t>서울75사1128</t>
  </si>
  <si>
    <t>서울75사1132</t>
  </si>
  <si>
    <t>서울70사8122</t>
  </si>
  <si>
    <t>서울70사8124</t>
  </si>
  <si>
    <t>6021번(동대문~김포공항)</t>
  </si>
  <si>
    <t>서울70사8222</t>
  </si>
  <si>
    <t>서울70사8227</t>
  </si>
  <si>
    <t>서울70사8230</t>
  </si>
  <si>
    <t>서울70사8245</t>
  </si>
  <si>
    <t>인천 중구 공항로 272</t>
    <phoneticPr fontId="36" type="noConversion"/>
  </si>
  <si>
    <t>서울70사8252</t>
  </si>
  <si>
    <t>서울70사8255</t>
  </si>
  <si>
    <t>서울70사8259</t>
  </si>
  <si>
    <t>6005번(서울시청(서울신문사)~인천공항)</t>
  </si>
  <si>
    <t>서울70사8267</t>
  </si>
  <si>
    <t>서울70사8275</t>
  </si>
  <si>
    <t>서울70사8277</t>
  </si>
  <si>
    <t>서울70사8280</t>
  </si>
  <si>
    <t>서울70사8287</t>
  </si>
  <si>
    <t>서울70사8121</t>
  </si>
  <si>
    <t>서울70사8123</t>
  </si>
  <si>
    <t>서울70사8168</t>
  </si>
  <si>
    <t>서울70사8226</t>
  </si>
  <si>
    <t>서울70사8228</t>
  </si>
  <si>
    <t>서울70사8232</t>
  </si>
  <si>
    <t>6011번(성북)</t>
  </si>
  <si>
    <t>서울70사8249</t>
  </si>
  <si>
    <t>6004번(금천)</t>
  </si>
  <si>
    <t>서울70사8254</t>
  </si>
  <si>
    <t>서울70사8258</t>
  </si>
  <si>
    <t>서울70사8263</t>
  </si>
  <si>
    <t>서울70사8268</t>
  </si>
  <si>
    <t>서울70사8276</t>
  </si>
  <si>
    <t>서울70사8278</t>
  </si>
  <si>
    <t>서울70사8281</t>
  </si>
  <si>
    <t>서울70사8294</t>
  </si>
  <si>
    <t>서울70사8296</t>
  </si>
  <si>
    <t>서울70사8298</t>
  </si>
  <si>
    <t>서울70사8300</t>
  </si>
  <si>
    <t>서울71사2286</t>
  </si>
  <si>
    <t>서울71사2310</t>
  </si>
  <si>
    <t>서울71사2317</t>
  </si>
  <si>
    <t>서울71사2324</t>
  </si>
  <si>
    <t>서울71사2326</t>
  </si>
  <si>
    <t>서울71사2328</t>
  </si>
  <si>
    <t>서울71사2330</t>
  </si>
  <si>
    <t>서울71사2332</t>
  </si>
  <si>
    <t>서울70사8288</t>
  </si>
  <si>
    <t>서울70사8295</t>
  </si>
  <si>
    <t>서울70사8297</t>
  </si>
  <si>
    <t>서울70사8299</t>
  </si>
  <si>
    <t>서울71사2278</t>
  </si>
  <si>
    <t>서울71사2285</t>
  </si>
  <si>
    <t>서울71사2287</t>
  </si>
  <si>
    <t>서울71사2316</t>
  </si>
  <si>
    <t>서울71사2319</t>
  </si>
  <si>
    <t>서울71사2325</t>
  </si>
  <si>
    <t>서울71사2327</t>
  </si>
  <si>
    <t>서울71사2329</t>
  </si>
  <si>
    <t>서울71사2331</t>
  </si>
  <si>
    <t>서울71사2342</t>
  </si>
  <si>
    <t>서울71사2343</t>
  </si>
  <si>
    <t>서울71사2347</t>
  </si>
  <si>
    <t>서울71사2350</t>
  </si>
  <si>
    <t>서울71사2352</t>
  </si>
  <si>
    <t>서울71사2356</t>
  </si>
  <si>
    <t>서울71사2358</t>
  </si>
  <si>
    <t>서울71사2360</t>
  </si>
  <si>
    <t>서울71사2362</t>
  </si>
  <si>
    <t>서울71사2365</t>
  </si>
  <si>
    <t>서울71사2369</t>
  </si>
  <si>
    <t>서울71사2371</t>
  </si>
  <si>
    <t>서울71사2378</t>
  </si>
  <si>
    <t>서울71사2383</t>
  </si>
  <si>
    <t>서울71사2385</t>
  </si>
  <si>
    <t>서울71사2345</t>
  </si>
  <si>
    <t>서울71사2348</t>
  </si>
  <si>
    <t>서울71사2351</t>
  </si>
  <si>
    <t>서울71사2353</t>
  </si>
  <si>
    <t>서울71사2357</t>
  </si>
  <si>
    <t>서울71사2359</t>
  </si>
  <si>
    <t>서울71사2361</t>
  </si>
  <si>
    <t>서울71사2364</t>
  </si>
  <si>
    <t>서울71사2367</t>
  </si>
  <si>
    <t>서울71사2370</t>
  </si>
  <si>
    <t>서울71사2377</t>
  </si>
  <si>
    <t>서울71사2382</t>
  </si>
  <si>
    <t>서울71사2384</t>
  </si>
  <si>
    <t>서울71사2389</t>
  </si>
  <si>
    <t>서울71사2391</t>
  </si>
  <si>
    <t>서울71사2393</t>
  </si>
  <si>
    <t>서울71사2395</t>
  </si>
  <si>
    <t>서울71사2397</t>
  </si>
  <si>
    <t>서울71사2399</t>
  </si>
  <si>
    <t>서울71사2401</t>
  </si>
  <si>
    <t>서울71사2403</t>
  </si>
  <si>
    <t>서울71사2405</t>
  </si>
  <si>
    <t>서울71사2407</t>
  </si>
  <si>
    <t>서울71사2409</t>
  </si>
  <si>
    <t>서울71사2411</t>
  </si>
  <si>
    <t>서울71사2413</t>
  </si>
  <si>
    <t>서울71사2386</t>
  </si>
  <si>
    <t>서울71사2390</t>
  </si>
  <si>
    <t>서울71사2392</t>
  </si>
  <si>
    <t>서울71사2394</t>
  </si>
  <si>
    <t>서울71사2396</t>
  </si>
  <si>
    <t>서울71사2398</t>
  </si>
  <si>
    <t>서울71사2400</t>
  </si>
  <si>
    <t>서울71사2402</t>
  </si>
  <si>
    <t>서울71사2404</t>
  </si>
  <si>
    <t>서울71사2406</t>
  </si>
  <si>
    <t>서울71사2408</t>
  </si>
  <si>
    <t>서울71사2410</t>
  </si>
  <si>
    <t>서울71사2412</t>
  </si>
  <si>
    <t>서울71사2414</t>
  </si>
  <si>
    <t>서울71사2415</t>
  </si>
  <si>
    <t>서울71사2417</t>
  </si>
  <si>
    <t>서울71사2421</t>
  </si>
  <si>
    <t>서울71사2423</t>
  </si>
  <si>
    <t>서울71사2425</t>
  </si>
  <si>
    <t>서울71사2427</t>
  </si>
  <si>
    <t>서울71사2429</t>
  </si>
  <si>
    <t>서울71사2433</t>
  </si>
  <si>
    <t>서울71사2435</t>
  </si>
  <si>
    <t>서울71사2437</t>
  </si>
  <si>
    <t>서울71사2439</t>
  </si>
  <si>
    <t>서울71사2441</t>
  </si>
  <si>
    <t>서울71사2444</t>
  </si>
  <si>
    <t>서울71사2446</t>
  </si>
  <si>
    <t>서울71사2416</t>
  </si>
  <si>
    <t>서울71사2418</t>
  </si>
  <si>
    <t>서울71사2422</t>
  </si>
  <si>
    <t>서울71사2424</t>
  </si>
  <si>
    <t>서울71사2426</t>
  </si>
  <si>
    <t>서울71사2428</t>
  </si>
  <si>
    <t>서울71사2432</t>
  </si>
  <si>
    <t>서울71사2434</t>
  </si>
  <si>
    <t>서울71사2436</t>
  </si>
  <si>
    <t>서울71사2438</t>
  </si>
  <si>
    <t>서울71사2440</t>
  </si>
  <si>
    <t>서울71사2443</t>
  </si>
  <si>
    <t>서울71사2445</t>
  </si>
  <si>
    <t>서울71사2448</t>
  </si>
  <si>
    <t>서울71사2450</t>
  </si>
  <si>
    <t>서울71사2452</t>
  </si>
  <si>
    <t>서울71사2454</t>
  </si>
  <si>
    <t>서울71사2457</t>
  </si>
  <si>
    <t>서울71사2459</t>
  </si>
  <si>
    <t>서울71사2461</t>
  </si>
  <si>
    <t>서울75사1120</t>
  </si>
  <si>
    <t>서울75사1122</t>
  </si>
  <si>
    <t>서울75사1127</t>
  </si>
  <si>
    <t>서울75사1133</t>
  </si>
  <si>
    <t>서울75사1135</t>
  </si>
  <si>
    <t>서울75사1145</t>
  </si>
  <si>
    <t>서울71사2447</t>
  </si>
  <si>
    <t>서울71사2449</t>
  </si>
  <si>
    <t>서울71사2451</t>
  </si>
  <si>
    <t>서울71사2453</t>
  </si>
  <si>
    <t>서울71사2456</t>
  </si>
  <si>
    <t>서울71사2458</t>
  </si>
  <si>
    <t>서울71사2460</t>
  </si>
  <si>
    <t>서울75사1118</t>
  </si>
  <si>
    <t>서울75사1121</t>
  </si>
  <si>
    <t>서울75사1123</t>
  </si>
  <si>
    <t>서울75사1130</t>
  </si>
  <si>
    <t>서울75사1134</t>
  </si>
  <si>
    <t>서울75사1136</t>
  </si>
  <si>
    <t>서울75사1146</t>
  </si>
  <si>
    <t>6020번(역삼동)</t>
  </si>
  <si>
    <t>서울 송파구 충민로6길 61-29</t>
  </si>
  <si>
    <t>서울70사9624</t>
  </si>
  <si>
    <t>6020-1번(역삼동)</t>
  </si>
  <si>
    <t>서울70사9627</t>
  </si>
  <si>
    <t>6300번(미사강변18단지.강일리버10단지~인천공항)</t>
  </si>
  <si>
    <t>서울70사9629</t>
  </si>
  <si>
    <t>6600(마천역.송파파크센트럴~인천공항T2)</t>
  </si>
  <si>
    <t>서울70사9631</t>
  </si>
  <si>
    <t>6500번(강남우체국~인천공항T2)</t>
  </si>
  <si>
    <t>서울70사9633</t>
  </si>
  <si>
    <t>서울70사9635</t>
  </si>
  <si>
    <t>서울70사9637</t>
  </si>
  <si>
    <t>서울70사9639</t>
  </si>
  <si>
    <t>서울70사9645</t>
  </si>
  <si>
    <t>서울70사9651</t>
  </si>
  <si>
    <t>서울70사9653</t>
  </si>
  <si>
    <t>서울70사9656</t>
  </si>
  <si>
    <t>서울70사9658</t>
  </si>
  <si>
    <t>6009번(가락1동주민센터~인천공항)</t>
  </si>
  <si>
    <t>서울70사9660</t>
  </si>
  <si>
    <t>6200번(황산~인천공항)</t>
  </si>
  <si>
    <t>서울70사9663</t>
  </si>
  <si>
    <t>서울70사9625</t>
  </si>
  <si>
    <t>서울70사9628</t>
  </si>
  <si>
    <t>서울70사9630</t>
  </si>
  <si>
    <t>서울70사9632</t>
  </si>
  <si>
    <t>서울70사9634</t>
  </si>
  <si>
    <t>서울70사9636</t>
  </si>
  <si>
    <t>6006번(잠실새내역~인천공항)</t>
  </si>
  <si>
    <t>서울70사9638</t>
  </si>
  <si>
    <t>서울70사9640</t>
  </si>
  <si>
    <t>서울70사9646</t>
  </si>
  <si>
    <t>서울70사9652</t>
  </si>
  <si>
    <t>서울70사9654</t>
  </si>
  <si>
    <t>서울70사9657</t>
  </si>
  <si>
    <t>서울70사9659</t>
  </si>
  <si>
    <t>서울70사9661</t>
  </si>
  <si>
    <t>서울70사9665</t>
  </si>
  <si>
    <t>서울70사9672</t>
  </si>
  <si>
    <t>서울70사9674</t>
  </si>
  <si>
    <t>서울70사9679</t>
  </si>
  <si>
    <t>서울71사1805</t>
  </si>
  <si>
    <t>서울71사1906</t>
  </si>
  <si>
    <t>서울71사1908</t>
  </si>
  <si>
    <t>서울70사9664</t>
  </si>
  <si>
    <t>서울70사9668</t>
  </si>
  <si>
    <t>서울70사9673</t>
  </si>
  <si>
    <t>서울70사9678</t>
  </si>
  <si>
    <t>서울70사9682</t>
  </si>
  <si>
    <t>서울71사1905</t>
  </si>
  <si>
    <t>서울71사1907</t>
  </si>
  <si>
    <t>서울71사1911</t>
  </si>
  <si>
    <t>서울71사1913</t>
  </si>
  <si>
    <t>서울71사1917</t>
  </si>
  <si>
    <t>서울71사1919</t>
  </si>
  <si>
    <t>서울71사1921</t>
  </si>
  <si>
    <t>서울71사1923</t>
  </si>
  <si>
    <t>서울71사1925</t>
  </si>
  <si>
    <t>서울71사1927</t>
  </si>
  <si>
    <t>서울71사1916</t>
  </si>
  <si>
    <t>서울71사1918</t>
  </si>
  <si>
    <t>서울71사1920</t>
  </si>
  <si>
    <t>서울71사1922</t>
  </si>
  <si>
    <t>서울71사1924</t>
  </si>
  <si>
    <t>서울71사1926</t>
  </si>
  <si>
    <t>서울71사1928</t>
  </si>
  <si>
    <t>서울71사1929</t>
  </si>
  <si>
    <t>서울71사1931</t>
  </si>
  <si>
    <t>서울71사1934</t>
  </si>
  <si>
    <t>서울71사1937</t>
  </si>
  <si>
    <t>서울71사1939</t>
  </si>
  <si>
    <t>서울71사1941</t>
  </si>
  <si>
    <t>서울71사1943</t>
  </si>
  <si>
    <t>서울71사1945</t>
  </si>
  <si>
    <t>서울71사1947</t>
  </si>
  <si>
    <t>서울71사1949</t>
  </si>
  <si>
    <t>서울71사1951</t>
  </si>
  <si>
    <t>서울71사1953</t>
  </si>
  <si>
    <t>서울71사1955</t>
  </si>
  <si>
    <t>서울71사1957</t>
  </si>
  <si>
    <t>서울71사1961</t>
  </si>
  <si>
    <t>서울71사1930</t>
  </si>
  <si>
    <t>서울71사1932</t>
  </si>
  <si>
    <t>서울71사1936</t>
  </si>
  <si>
    <t>서울71사1938</t>
  </si>
  <si>
    <t>서울71사1940</t>
  </si>
  <si>
    <t>서울71사1942</t>
  </si>
  <si>
    <t>서울71사1944</t>
  </si>
  <si>
    <t>서울71사1946</t>
  </si>
  <si>
    <t>서울71사1948</t>
  </si>
  <si>
    <t>서울71사1950</t>
  </si>
  <si>
    <t>서울71사1952</t>
  </si>
  <si>
    <t>서울71사1954</t>
  </si>
  <si>
    <t>서울71사1956</t>
  </si>
  <si>
    <t>서울71사1958</t>
  </si>
  <si>
    <t>N6703번(인천공항~광나루역)</t>
  </si>
  <si>
    <t>서울 강서구 공항동 1373</t>
  </si>
  <si>
    <t>서울70바5558</t>
  </si>
  <si>
    <t>6705A(워커힐)</t>
  </si>
  <si>
    <t>서울70바5560</t>
  </si>
  <si>
    <t>서울70바5562</t>
  </si>
  <si>
    <t>6702(남산)</t>
  </si>
  <si>
    <t>서울70사8181</t>
  </si>
  <si>
    <t>6701(시청)</t>
  </si>
  <si>
    <t>서울70사8183</t>
  </si>
  <si>
    <t>N6701(인천공항~DDP)</t>
  </si>
  <si>
    <t>서울70사8185</t>
  </si>
  <si>
    <t>서울70사8187</t>
  </si>
  <si>
    <t>서울70바5559</t>
  </si>
  <si>
    <t>서울70바5561</t>
  </si>
  <si>
    <t>서울70바5563</t>
  </si>
  <si>
    <t>서울70사8182</t>
  </si>
  <si>
    <t>서울70사8184</t>
  </si>
  <si>
    <t>서울70사8186</t>
  </si>
  <si>
    <t>서울70사8189</t>
  </si>
  <si>
    <t>서울70사8191</t>
  </si>
  <si>
    <t>서울70사8193</t>
  </si>
  <si>
    <t>서울70사8195</t>
  </si>
  <si>
    <t>서울70사8197</t>
  </si>
  <si>
    <t>6703(강남)</t>
  </si>
  <si>
    <t>서울70사8199</t>
  </si>
  <si>
    <t>서울70사8188</t>
  </si>
  <si>
    <t>서울70사8192</t>
  </si>
  <si>
    <t>서울70사8194</t>
  </si>
  <si>
    <t>서울70사8196</t>
  </si>
  <si>
    <t>서울70사8198</t>
  </si>
  <si>
    <t>서울70사8200</t>
  </si>
  <si>
    <t>서울70사8201</t>
  </si>
  <si>
    <t>서울70사8203</t>
  </si>
  <si>
    <t>서울70사8205</t>
  </si>
  <si>
    <t>서울70사8207</t>
  </si>
  <si>
    <t>서울70사8209</t>
  </si>
  <si>
    <t>서울70사8270</t>
  </si>
  <si>
    <t>서울70사8272</t>
  </si>
  <si>
    <t>서울70사8202</t>
  </si>
  <si>
    <t>서울70사8204</t>
  </si>
  <si>
    <t>서울70사8206</t>
  </si>
  <si>
    <t>서울70사8208</t>
  </si>
  <si>
    <t>서울70사8269</t>
  </si>
  <si>
    <t>서울70사8271</t>
  </si>
  <si>
    <t>서울71사2334</t>
  </si>
  <si>
    <t>서울71사2338</t>
  </si>
  <si>
    <t>서울75사5350</t>
  </si>
  <si>
    <t>서울75사5354</t>
  </si>
  <si>
    <t>서울75사5361</t>
  </si>
  <si>
    <t>서울75사5367</t>
  </si>
  <si>
    <t>서울70사8273</t>
  </si>
  <si>
    <t>서울71사2335</t>
  </si>
  <si>
    <t>서울71사2339</t>
  </si>
  <si>
    <t>서울75사5352</t>
  </si>
  <si>
    <t>서울75사5358</t>
  </si>
  <si>
    <t>서울75사5366</t>
  </si>
  <si>
    <t>서울70사8180</t>
  </si>
  <si>
    <t>서울70사8215</t>
  </si>
  <si>
    <t>서울70사8216</t>
  </si>
  <si>
    <t>서울70사8217</t>
  </si>
  <si>
    <t>서울70사8250</t>
  </si>
  <si>
    <t>서울70사8251</t>
  </si>
  <si>
    <t>서울70사8253</t>
  </si>
  <si>
    <t>서울71사2274</t>
  </si>
  <si>
    <t>서울71사2281</t>
  </si>
  <si>
    <t>서울71사2311</t>
  </si>
  <si>
    <t>서울71사2312</t>
  </si>
  <si>
    <t>서울71사2313</t>
  </si>
  <si>
    <t>서울70사8190</t>
  </si>
  <si>
    <t>서울71사2280</t>
  </si>
  <si>
    <t>└ ※ 거치대 구분 A</t>
    <phoneticPr fontId="36" type="noConversion"/>
  </si>
  <si>
    <t>└ ※ 거치대 구분 B</t>
    <phoneticPr fontId="36" type="noConversion"/>
  </si>
  <si>
    <t>└ ※ 거치대 구분 C</t>
    <phoneticPr fontId="36" type="noConversion"/>
  </si>
  <si>
    <t>└ ※ 한국공항리무진 영수증프린트기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</si>
</sst>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-mm\-dd"/>
    <numFmt numFmtId="177" formatCode="0.0%"/>
    <numFmt numFmtId="178" formatCode="#,##0;\-#,##0;\–"/>
    <numFmt numFmtId="179" formatCode="mm\-dd"/>
    <numFmt numFmtId="180" formatCode="0;;;"/>
    <numFmt numFmtId="181" formatCode="#,##0;;;"/>
    <numFmt numFmtId="182" formatCode="mm&quot;월&quot;\ dd&quot;일&quot;"/>
  </numFmts>
  <fonts count="43">
    <font>
      <sz val="11"/>
      <color theme="1"/>
      <name val="Calibri"/>
      <family val="2"/>
      <charset val="1"/>
    </font>
    <font>
      <b/>
      <sz val="15"/>
      <color rgb="FF2F4A73"/>
      <name val="맑은 고딕"/>
      <family val="3"/>
      <charset val="129"/>
    </font>
    <font>
      <b/>
      <sz val="9"/>
      <color rgb="FF6B7280"/>
      <name val="Noto Sans CJK SC"/>
      <family val="2"/>
    </font>
    <font>
      <b/>
      <sz val="10"/>
      <color rgb="FF23272E"/>
      <name val="맑은 고딕"/>
      <family val="3"/>
      <charset val="129"/>
    </font>
    <font>
      <sz val="9"/>
      <color rgb="FF6B7280"/>
      <name val="Noto Sans CJK SC"/>
      <family val="2"/>
    </font>
    <font>
      <sz val="9"/>
      <color rgb="FF6B7280"/>
      <name val="맑은 고딕"/>
      <family val="3"/>
      <charset val="129"/>
    </font>
    <font>
      <b/>
      <sz val="10"/>
      <color rgb="FF2F4A73"/>
      <name val="Noto Sans CJK SC"/>
      <family val="2"/>
    </font>
    <font>
      <b/>
      <sz val="9"/>
      <color rgb="FF6B7280"/>
      <name val="맑은 고딕"/>
      <family val="3"/>
      <charset val="129"/>
    </font>
    <font>
      <sz val="9"/>
      <color rgb="FF23272E"/>
      <name val="맑은 고딕"/>
      <family val="3"/>
      <charset val="129"/>
    </font>
    <font>
      <b/>
      <sz val="13"/>
      <color rgb="FF23272E"/>
      <name val="맑은 고딕"/>
      <family val="3"/>
      <charset val="129"/>
    </font>
    <font>
      <b/>
      <sz val="13"/>
      <color rgb="FF2F4A73"/>
      <name val="맑은 고딕"/>
      <family val="3"/>
      <charset val="129"/>
    </font>
    <font>
      <b/>
      <sz val="10"/>
      <color rgb="FF6B7280"/>
      <name val="맑은 고딕"/>
      <family val="3"/>
      <charset val="129"/>
    </font>
    <font>
      <b/>
      <sz val="16"/>
      <color rgb="FF2F4A73"/>
      <name val="맑은 고딕"/>
      <family val="3"/>
      <charset val="129"/>
    </font>
    <font>
      <b/>
      <sz val="9"/>
      <color rgb="FF23272E"/>
      <name val="맑은 고딕"/>
      <family val="3"/>
      <charset val="129"/>
    </font>
    <font>
      <b/>
      <sz val="9"/>
      <color rgb="FF23272E"/>
      <name val="Noto Sans CJK SC"/>
      <family val="2"/>
    </font>
    <font>
      <sz val="9"/>
      <color rgb="FF23272E"/>
      <name val="Noto Sans CJK SC"/>
      <family val="2"/>
    </font>
    <font>
      <sz val="8.5"/>
      <color rgb="FF6B7280"/>
      <name val="Noto Sans CJK SC"/>
      <family val="2"/>
    </font>
    <font>
      <b/>
      <sz val="9"/>
      <color rgb="FF2F4A73"/>
      <name val="Noto Sans CJK SC"/>
      <family val="2"/>
    </font>
    <font>
      <b/>
      <sz val="9"/>
      <color rgb="FF2F4A73"/>
      <name val="맑은 고딕"/>
      <family val="3"/>
      <charset val="129"/>
    </font>
    <font>
      <b/>
      <sz val="15"/>
      <color rgb="FF8C1D2E"/>
      <name val="맑은 고딕"/>
      <family val="3"/>
      <charset val="129"/>
    </font>
    <font>
      <b/>
      <sz val="10"/>
      <color rgb="FF8C1D2E"/>
      <name val="Noto Sans CJK SC"/>
      <family val="2"/>
    </font>
    <font>
      <b/>
      <sz val="13"/>
      <color rgb="FF8C1D2E"/>
      <name val="맑은 고딕"/>
      <family val="3"/>
      <charset val="129"/>
    </font>
    <font>
      <b/>
      <sz val="16"/>
      <color rgb="FF8C1D2E"/>
      <name val="맑은 고딕"/>
      <family val="3"/>
      <charset val="129"/>
    </font>
    <font>
      <b/>
      <sz val="9"/>
      <color rgb="FF8C1D2E"/>
      <name val="Noto Sans CJK SC"/>
      <family val="2"/>
    </font>
    <font>
      <b/>
      <sz val="9"/>
      <color rgb="FF8C1D2E"/>
      <name val="맑은 고딕"/>
      <family val="3"/>
      <charset val="129"/>
    </font>
    <font>
      <b/>
      <sz val="8.5"/>
      <color rgb="FF23272E"/>
      <name val="Noto Sans CJK SC"/>
      <family val="2"/>
    </font>
    <font>
      <b/>
      <sz val="8.5"/>
      <color rgb="FF23272E"/>
      <name val="맑은 고딕"/>
      <family val="3"/>
      <charset val="129"/>
    </font>
    <font>
      <sz val="8.5"/>
      <color rgb="FF23272E"/>
      <name val="맑은 고딕"/>
      <family val="3"/>
      <charset val="129"/>
    </font>
    <font>
      <sz val="8.5"/>
      <color rgb="FF23272E"/>
      <name val="Noto Sans CJK SC"/>
      <family val="2"/>
    </font>
    <font>
      <b/>
      <sz val="8.5"/>
      <color rgb="FF2F4A73"/>
      <name val="맑은 고딕"/>
      <family val="3"/>
      <charset val="129"/>
    </font>
    <font>
      <b/>
      <sz val="8.5"/>
      <color rgb="FF8C1D2E"/>
      <name val="맑은 고딕"/>
      <family val="3"/>
      <charset val="129"/>
    </font>
    <font>
      <b/>
      <sz val="15"/>
      <color rgb="FF23272E"/>
      <name val="Noto Sans CJK SC"/>
      <family val="2"/>
    </font>
    <font>
      <b/>
      <sz val="15"/>
      <color rgb="FF23272E"/>
      <name val="맑은 고딕"/>
      <family val="3"/>
      <charset val="129"/>
    </font>
    <font>
      <b/>
      <sz val="10"/>
      <color rgb="FF23272E"/>
      <name val="Noto Sans CJK SC"/>
      <family val="2"/>
    </font>
    <font>
      <b/>
      <sz val="10"/>
      <color rgb="FF2F4A73"/>
      <name val="맑은 고딕"/>
      <family val="3"/>
      <charset val="129"/>
    </font>
    <font>
      <sz val="8.5"/>
      <color rgb="FF6B7280"/>
      <name val="맑은 고딕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rgb="FF8C1D2E"/>
      <name val="맑은 고딕"/>
      <family val="3"/>
      <charset val="129"/>
    </font>
    <font>
      <sz val="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DF7E6"/>
        <bgColor rgb="FFFAFAFB"/>
      </patternFill>
    </fill>
    <fill>
      <patternFill patternType="solid">
        <fgColor rgb="FFF2F3F5"/>
        <bgColor rgb="FFF0F0F0"/>
      </patternFill>
    </fill>
    <fill>
      <patternFill patternType="solid">
        <fgColor rgb="FFFAFAFB"/>
        <bgColor rgb="FFF2F3F5"/>
      </patternFill>
    </fill>
    <fill>
      <patternFill patternType="solid">
        <fgColor rgb="FFECF0F6"/>
        <bgColor rgb="FFF0F0F0"/>
      </patternFill>
    </fill>
    <fill>
      <patternFill patternType="solid">
        <fgColor rgb="FFF7E9EC"/>
        <bgColor rgb="FFFBE4E4"/>
      </patternFill>
    </fill>
    <fill>
      <patternFill patternType="solid">
        <fgColor rgb="FFEAF2E9"/>
        <bgColor rgb="FFF0F0F0"/>
      </patternFill>
    </fill>
    <fill>
      <patternFill patternType="solid">
        <fgColor rgb="FFFBE4E4"/>
        <bgColor rgb="FFF7E9EC"/>
      </patternFill>
    </fill>
    <fill>
      <patternFill patternType="solid">
        <fgColor rgb="FFF0F0F0"/>
        <bgColor rgb="FFECF0F6"/>
      </patternFill>
    </fill>
    <fill>
      <patternFill patternType="solid">
        <fgColor rgb="FFFFFF00"/>
        <bgColor rgb="FFF2F3F5"/>
      </patternFill>
    </fill>
    <fill>
      <patternFill patternType="solid">
        <fgColor rgb="FFFFFF00"/>
        <bgColor rgb="FFFAFAFB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9AA0A8"/>
      </bottom>
      <diagonal/>
    </border>
    <border>
      <left/>
      <right/>
      <top/>
      <bottom style="thin">
        <color rgb="FF2F4A73"/>
      </bottom>
      <diagonal/>
    </border>
    <border>
      <left style="thin">
        <color rgb="FFD5D7DB"/>
      </left>
      <right/>
      <top style="thin">
        <color rgb="FF9AA0A8"/>
      </top>
      <bottom style="medium">
        <color rgb="FF2F4A73"/>
      </bottom>
      <diagonal/>
    </border>
    <border>
      <left style="thin">
        <color rgb="FFD5D7DB"/>
      </left>
      <right/>
      <top style="thin">
        <color rgb="FFD5D7DB"/>
      </top>
      <bottom/>
      <diagonal/>
    </border>
    <border>
      <left style="thin">
        <color rgb="FFD5D7DB"/>
      </left>
      <right style="thin">
        <color rgb="FFD5D7DB"/>
      </right>
      <top style="thin">
        <color rgb="FFD5D7DB"/>
      </top>
      <bottom style="thin">
        <color rgb="FFD5D7DB"/>
      </bottom>
      <diagonal/>
    </border>
    <border>
      <left style="thin">
        <color rgb="FFD5D7DB"/>
      </left>
      <right style="thin">
        <color rgb="FFD5D7DB"/>
      </right>
      <top style="thin">
        <color rgb="FF9AA0A8"/>
      </top>
      <bottom style="medium">
        <color rgb="FF2F4A73"/>
      </bottom>
      <diagonal/>
    </border>
    <border>
      <left style="thin">
        <color rgb="FFD5D7DB"/>
      </left>
      <right style="thin">
        <color rgb="FFD5D7DB"/>
      </right>
      <top style="medium">
        <color rgb="FF2F4A73"/>
      </top>
      <bottom style="thin">
        <color rgb="FFD5D7DB"/>
      </bottom>
      <diagonal/>
    </border>
    <border>
      <left/>
      <right/>
      <top/>
      <bottom style="thin">
        <color rgb="FFD5D7DB"/>
      </bottom>
      <diagonal/>
    </border>
    <border>
      <left style="thin">
        <color rgb="FFD5D7DB"/>
      </left>
      <right style="thin">
        <color rgb="FFD5D7DB"/>
      </right>
      <top/>
      <bottom style="thin">
        <color rgb="FFD5D7DB"/>
      </bottom>
      <diagonal/>
    </border>
    <border>
      <left/>
      <right/>
      <top/>
      <bottom style="thin">
        <color rgb="FF8C1D2E"/>
      </bottom>
      <diagonal/>
    </border>
    <border>
      <left style="thin">
        <color rgb="FFD5D7DB"/>
      </left>
      <right/>
      <top style="thin">
        <color rgb="FF9AA0A8"/>
      </top>
      <bottom style="medium">
        <color rgb="FF8C1D2E"/>
      </bottom>
      <diagonal/>
    </border>
    <border>
      <left style="thin">
        <color rgb="FFD5D7DB"/>
      </left>
      <right style="thin">
        <color rgb="FFD5D7DB"/>
      </right>
      <top style="thin">
        <color rgb="FF9AA0A8"/>
      </top>
      <bottom style="medium">
        <color rgb="FF8C1D2E"/>
      </bottom>
      <diagonal/>
    </border>
    <border>
      <left style="thin">
        <color rgb="FFD5D7DB"/>
      </left>
      <right style="thin">
        <color rgb="FFD5D7DB"/>
      </right>
      <top style="medium">
        <color rgb="FF8C1D2E"/>
      </top>
      <bottom style="thin">
        <color rgb="FFD5D7DB"/>
      </bottom>
      <diagonal/>
    </border>
    <border>
      <left style="thin">
        <color rgb="FFD5D7DB"/>
      </left>
      <right style="thin">
        <color rgb="FFD5D7DB"/>
      </right>
      <top style="thin">
        <color rgb="FF9AA0A8"/>
      </top>
      <bottom style="medium">
        <color rgb="FF23272E"/>
      </bottom>
      <diagonal/>
    </border>
    <border>
      <left/>
      <right/>
      <top/>
      <bottom style="thin">
        <color rgb="FF23272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6" fillId="0" borderId="2" xfId="0" applyFont="1" applyBorder="1" applyAlignment="1">
      <alignment horizontal="left" vertical="center"/>
    </xf>
    <xf numFmtId="0" fontId="0" fillId="0" borderId="2" xfId="0" applyBorder="1"/>
    <xf numFmtId="3" fontId="9" fillId="0" borderId="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indent="1"/>
    </xf>
    <xf numFmtId="3" fontId="13" fillId="0" borderId="5" xfId="0" applyNumberFormat="1" applyFont="1" applyBorder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/>
    </xf>
    <xf numFmtId="179" fontId="5" fillId="0" borderId="5" xfId="0" applyNumberFormat="1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 indent="1"/>
    </xf>
    <xf numFmtId="3" fontId="13" fillId="4" borderId="5" xfId="0" applyNumberFormat="1" applyFont="1" applyFill="1" applyBorder="1" applyAlignment="1">
      <alignment horizontal="center" vertical="center"/>
    </xf>
    <xf numFmtId="178" fontId="8" fillId="4" borderId="5" xfId="0" applyNumberFormat="1" applyFont="1" applyFill="1" applyBorder="1" applyAlignment="1">
      <alignment horizontal="center" vertical="center"/>
    </xf>
    <xf numFmtId="179" fontId="5" fillId="4" borderId="5" xfId="0" applyNumberFormat="1" applyFont="1" applyFill="1" applyBorder="1" applyAlignment="1">
      <alignment horizontal="center" vertical="center"/>
    </xf>
    <xf numFmtId="177" fontId="8" fillId="4" borderId="5" xfId="0" applyNumberFormat="1" applyFont="1" applyFill="1" applyBorder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 vertical="center"/>
    </xf>
    <xf numFmtId="178" fontId="13" fillId="3" borderId="7" xfId="0" applyNumberFormat="1" applyFont="1" applyFill="1" applyBorder="1" applyAlignment="1">
      <alignment horizontal="center" vertical="center"/>
    </xf>
    <xf numFmtId="179" fontId="7" fillId="3" borderId="7" xfId="0" applyNumberFormat="1" applyFont="1" applyFill="1" applyBorder="1" applyAlignment="1">
      <alignment horizontal="center" vertical="center"/>
    </xf>
    <xf numFmtId="177" fontId="13" fillId="3" borderId="7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80" fontId="13" fillId="0" borderId="5" xfId="0" applyNumberFormat="1" applyFont="1" applyBorder="1" applyAlignment="1">
      <alignment horizontal="center" vertical="center"/>
    </xf>
    <xf numFmtId="180" fontId="18" fillId="0" borderId="5" xfId="0" applyNumberFormat="1" applyFont="1" applyBorder="1" applyAlignment="1">
      <alignment horizontal="center" vertical="center"/>
    </xf>
    <xf numFmtId="180" fontId="13" fillId="4" borderId="5" xfId="0" applyNumberFormat="1" applyFont="1" applyFill="1" applyBorder="1" applyAlignment="1">
      <alignment horizontal="center" vertical="center"/>
    </xf>
    <xf numFmtId="180" fontId="18" fillId="4" borderId="5" xfId="0" applyNumberFormat="1" applyFont="1" applyFill="1" applyBorder="1" applyAlignment="1">
      <alignment horizontal="center" vertical="center"/>
    </xf>
    <xf numFmtId="181" fontId="13" fillId="3" borderId="7" xfId="0" applyNumberFormat="1" applyFont="1" applyFill="1" applyBorder="1" applyAlignment="1">
      <alignment horizontal="center" vertical="center"/>
    </xf>
    <xf numFmtId="181" fontId="18" fillId="3" borderId="7" xfId="0" applyNumberFormat="1" applyFont="1" applyFill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8" fontId="13" fillId="0" borderId="5" xfId="0" applyNumberFormat="1" applyFont="1" applyBorder="1" applyAlignment="1">
      <alignment horizontal="center" vertical="center"/>
    </xf>
    <xf numFmtId="178" fontId="18" fillId="0" borderId="5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176" fontId="13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78" fontId="13" fillId="4" borderId="5" xfId="0" applyNumberFormat="1" applyFont="1" applyFill="1" applyBorder="1" applyAlignment="1">
      <alignment horizontal="center" vertical="center"/>
    </xf>
    <xf numFmtId="178" fontId="18" fillId="4" borderId="5" xfId="0" applyNumberFormat="1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/>
    </xf>
    <xf numFmtId="178" fontId="5" fillId="4" borderId="5" xfId="0" applyNumberFormat="1" applyFont="1" applyFill="1" applyBorder="1" applyAlignment="1">
      <alignment horizontal="center" vertical="center"/>
    </xf>
    <xf numFmtId="178" fontId="18" fillId="3" borderId="7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0" fillId="0" borderId="10" xfId="0" applyBorder="1"/>
    <xf numFmtId="3" fontId="21" fillId="0" borderId="5" xfId="0" applyNumberFormat="1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/>
    </xf>
    <xf numFmtId="178" fontId="13" fillId="3" borderId="13" xfId="0" applyNumberFormat="1" applyFont="1" applyFill="1" applyBorder="1" applyAlignment="1">
      <alignment horizontal="center" vertical="center"/>
    </xf>
    <xf numFmtId="179" fontId="7" fillId="3" borderId="13" xfId="0" applyNumberFormat="1" applyFont="1" applyFill="1" applyBorder="1" applyAlignment="1">
      <alignment horizontal="center" vertical="center"/>
    </xf>
    <xf numFmtId="177" fontId="13" fillId="3" borderId="13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180" fontId="24" fillId="0" borderId="5" xfId="0" applyNumberFormat="1" applyFont="1" applyBorder="1" applyAlignment="1">
      <alignment horizontal="center" vertical="center"/>
    </xf>
    <xf numFmtId="180" fontId="24" fillId="4" borderId="5" xfId="0" applyNumberFormat="1" applyFont="1" applyFill="1" applyBorder="1" applyAlignment="1">
      <alignment horizontal="center" vertical="center"/>
    </xf>
    <xf numFmtId="181" fontId="13" fillId="3" borderId="13" xfId="0" applyNumberFormat="1" applyFont="1" applyFill="1" applyBorder="1" applyAlignment="1">
      <alignment horizontal="center" vertical="center"/>
    </xf>
    <xf numFmtId="181" fontId="24" fillId="3" borderId="13" xfId="0" applyNumberFormat="1" applyFont="1" applyFill="1" applyBorder="1" applyAlignment="1">
      <alignment horizontal="center" vertical="center"/>
    </xf>
    <xf numFmtId="178" fontId="24" fillId="0" borderId="5" xfId="0" applyNumberFormat="1" applyFont="1" applyBorder="1" applyAlignment="1">
      <alignment horizontal="center" vertical="center"/>
    </xf>
    <xf numFmtId="178" fontId="24" fillId="4" borderId="5" xfId="0" applyNumberFormat="1" applyFont="1" applyFill="1" applyBorder="1" applyAlignment="1">
      <alignment horizontal="center" vertical="center"/>
    </xf>
    <xf numFmtId="178" fontId="24" fillId="3" borderId="13" xfId="0" applyNumberFormat="1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 indent="1"/>
    </xf>
    <xf numFmtId="176" fontId="29" fillId="0" borderId="5" xfId="0" applyNumberFormat="1" applyFont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176" fontId="27" fillId="2" borderId="5" xfId="0" applyNumberFormat="1" applyFont="1" applyFill="1" applyBorder="1" applyAlignment="1">
      <alignment horizontal="center" vertical="center"/>
    </xf>
    <xf numFmtId="176" fontId="30" fillId="0" borderId="5" xfId="0" applyNumberFormat="1" applyFont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left" vertical="center" indent="1"/>
    </xf>
    <xf numFmtId="176" fontId="29" fillId="4" borderId="5" xfId="0" applyNumberFormat="1" applyFont="1" applyFill="1" applyBorder="1" applyAlignment="1">
      <alignment horizontal="center" vertical="center"/>
    </xf>
    <xf numFmtId="176" fontId="30" fillId="4" borderId="5" xfId="0" applyNumberFormat="1" applyFont="1" applyFill="1" applyBorder="1" applyAlignment="1">
      <alignment horizontal="center" vertical="center"/>
    </xf>
    <xf numFmtId="0" fontId="33" fillId="0" borderId="15" xfId="0" applyFont="1" applyBorder="1" applyAlignment="1">
      <alignment horizontal="left" vertical="center"/>
    </xf>
    <xf numFmtId="0" fontId="0" fillId="0" borderId="15" xfId="0" applyBorder="1"/>
    <xf numFmtId="0" fontId="14" fillId="3" borderId="1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176" fontId="13" fillId="2" borderId="5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 indent="1"/>
    </xf>
    <xf numFmtId="49" fontId="18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indent="1"/>
    </xf>
    <xf numFmtId="49" fontId="24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49" fontId="7" fillId="0" borderId="5" xfId="0" applyNumberFormat="1" applyFont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3" fontId="18" fillId="4" borderId="5" xfId="0" applyNumberFormat="1" applyFont="1" applyFill="1" applyBorder="1" applyAlignment="1">
      <alignment horizontal="center" vertical="center"/>
    </xf>
    <xf numFmtId="3" fontId="18" fillId="3" borderId="7" xfId="0" applyNumberFormat="1" applyFont="1" applyFill="1" applyBorder="1" applyAlignment="1">
      <alignment horizontal="center" vertical="center"/>
    </xf>
    <xf numFmtId="3" fontId="24" fillId="0" borderId="5" xfId="0" applyNumberFormat="1" applyFont="1" applyBorder="1" applyAlignment="1">
      <alignment horizontal="center" vertical="center"/>
    </xf>
    <xf numFmtId="3" fontId="24" fillId="4" borderId="5" xfId="0" applyNumberFormat="1" applyFont="1" applyFill="1" applyBorder="1" applyAlignment="1">
      <alignment horizontal="center" vertical="center"/>
    </xf>
    <xf numFmtId="3" fontId="24" fillId="3" borderId="13" xfId="0" applyNumberFormat="1" applyFont="1" applyFill="1" applyBorder="1" applyAlignment="1">
      <alignment horizontal="center" vertical="center"/>
    </xf>
    <xf numFmtId="0" fontId="28" fillId="0" borderId="5" xfId="0" applyFont="1" applyBorder="1" applyAlignment="1">
      <alignment horizontal="left" vertical="center" wrapText="1" indent="1"/>
    </xf>
    <xf numFmtId="0" fontId="25" fillId="0" borderId="5" xfId="0" applyFont="1" applyBorder="1" applyAlignment="1">
      <alignment horizontal="left" vertical="center" wrapText="1" indent="1"/>
    </xf>
    <xf numFmtId="0" fontId="16" fillId="0" borderId="5" xfId="0" applyFont="1" applyBorder="1" applyAlignment="1">
      <alignment horizontal="left" vertical="center" wrapText="1" indent="1"/>
    </xf>
    <xf numFmtId="0" fontId="28" fillId="4" borderId="5" xfId="0" applyFont="1" applyFill="1" applyBorder="1" applyAlignment="1">
      <alignment horizontal="left" vertical="center" wrapText="1" indent="1"/>
    </xf>
    <xf numFmtId="0" fontId="25" fillId="4" borderId="5" xfId="0" applyFont="1" applyFill="1" applyBorder="1" applyAlignment="1">
      <alignment horizontal="left" vertical="center" wrapText="1" indent="1"/>
    </xf>
    <xf numFmtId="0" fontId="16" fillId="4" borderId="5" xfId="0" applyFont="1" applyFill="1" applyBorder="1" applyAlignment="1">
      <alignment horizontal="left" vertical="center" wrapText="1" indent="1"/>
    </xf>
    <xf numFmtId="0" fontId="35" fillId="4" borderId="5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182" fontId="27" fillId="2" borderId="5" xfId="0" applyNumberFormat="1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left" vertical="center" indent="1"/>
    </xf>
    <xf numFmtId="176" fontId="29" fillId="10" borderId="5" xfId="0" applyNumberFormat="1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  <xf numFmtId="176" fontId="27" fillId="11" borderId="5" xfId="0" applyNumberFormat="1" applyFont="1" applyFill="1" applyBorder="1" applyAlignment="1">
      <alignment horizontal="center" vertical="center"/>
    </xf>
    <xf numFmtId="176" fontId="30" fillId="10" borderId="5" xfId="0" applyNumberFormat="1" applyFont="1" applyFill="1" applyBorder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2" borderId="5" xfId="0" applyFont="1" applyFill="1" applyBorder="1" applyAlignment="1">
      <alignment horizontal="left" vertical="center" indent="1"/>
    </xf>
    <xf numFmtId="176" fontId="29" fillId="12" borderId="5" xfId="0" applyNumberFormat="1" applyFont="1" applyFill="1" applyBorder="1" applyAlignment="1">
      <alignment horizontal="center" vertical="center"/>
    </xf>
    <xf numFmtId="176" fontId="30" fillId="12" borderId="5" xfId="0" applyNumberFormat="1" applyFont="1" applyFill="1" applyBorder="1" applyAlignment="1">
      <alignment horizontal="center" vertical="center"/>
    </xf>
    <xf numFmtId="182" fontId="27" fillId="11" borderId="5" xfId="0" applyNumberFormat="1" applyFont="1" applyFill="1" applyBorder="1" applyAlignment="1">
      <alignment horizontal="center" vertical="center"/>
    </xf>
    <xf numFmtId="0" fontId="38" fillId="0" borderId="19" xfId="0" applyFont="1" applyBorder="1"/>
    <xf numFmtId="0" fontId="38" fillId="0" borderId="0" xfId="0" applyFont="1"/>
    <xf numFmtId="0" fontId="38" fillId="0" borderId="20" xfId="0" applyFont="1" applyBorder="1"/>
    <xf numFmtId="0" fontId="40" fillId="0" borderId="21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3" fontId="38" fillId="0" borderId="22" xfId="0" applyNumberFormat="1" applyFont="1" applyBorder="1" applyAlignment="1">
      <alignment horizontal="center" vertical="center"/>
    </xf>
    <xf numFmtId="177" fontId="38" fillId="0" borderId="23" xfId="0" applyNumberFormat="1" applyFont="1" applyBorder="1" applyAlignment="1">
      <alignment horizontal="center" vertical="center"/>
    </xf>
    <xf numFmtId="3" fontId="40" fillId="13" borderId="22" xfId="0" applyNumberFormat="1" applyFont="1" applyFill="1" applyBorder="1" applyAlignment="1">
      <alignment horizontal="center" vertical="center"/>
    </xf>
    <xf numFmtId="177" fontId="40" fillId="13" borderId="23" xfId="0" applyNumberFormat="1" applyFont="1" applyFill="1" applyBorder="1" applyAlignment="1">
      <alignment horizontal="center" vertical="center"/>
    </xf>
    <xf numFmtId="0" fontId="38" fillId="0" borderId="19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0" xfId="0" applyFont="1" applyBorder="1" applyAlignment="1">
      <alignment horizontal="center"/>
    </xf>
    <xf numFmtId="3" fontId="40" fillId="13" borderId="25" xfId="0" applyNumberFormat="1" applyFont="1" applyFill="1" applyBorder="1" applyAlignment="1">
      <alignment horizontal="center" vertical="center"/>
    </xf>
    <xf numFmtId="177" fontId="40" fillId="13" borderId="2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8" fillId="0" borderId="2" xfId="0" applyFont="1" applyBorder="1"/>
    <xf numFmtId="0" fontId="7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indent="1"/>
    </xf>
    <xf numFmtId="0" fontId="13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 indent="1"/>
    </xf>
    <xf numFmtId="0" fontId="13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left" vertical="center"/>
    </xf>
    <xf numFmtId="0" fontId="38" fillId="0" borderId="10" xfId="0" applyFont="1" applyBorder="1"/>
    <xf numFmtId="0" fontId="7" fillId="3" borderId="12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center" vertical="center"/>
    </xf>
    <xf numFmtId="0" fontId="42" fillId="0" borderId="0" xfId="0" applyFont="1"/>
    <xf numFmtId="0" fontId="8" fillId="2" borderId="4" xfId="0" applyFont="1" applyFill="1" applyBorder="1" applyAlignment="1">
      <alignment horizontal="left" vertical="top" wrapText="1" indent="1"/>
    </xf>
    <xf numFmtId="0" fontId="7" fillId="4" borderId="5" xfId="0" applyFont="1" applyFill="1" applyBorder="1" applyAlignment="1">
      <alignment horizontal="center" vertical="center"/>
    </xf>
    <xf numFmtId="177" fontId="22" fillId="0" borderId="5" xfId="0" applyNumberFormat="1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178" fontId="18" fillId="3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right" vertical="center"/>
    </xf>
    <xf numFmtId="179" fontId="13" fillId="3" borderId="6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right" vertical="center"/>
    </xf>
    <xf numFmtId="0" fontId="35" fillId="3" borderId="9" xfId="0" applyFont="1" applyFill="1" applyBorder="1" applyAlignment="1">
      <alignment horizontal="center" vertical="center"/>
    </xf>
    <xf numFmtId="178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178" fontId="13" fillId="0" borderId="8" xfId="0" applyNumberFormat="1" applyFont="1" applyBorder="1" applyAlignment="1">
      <alignment horizontal="center" vertical="center"/>
    </xf>
    <xf numFmtId="178" fontId="24" fillId="3" borderId="8" xfId="0" applyNumberFormat="1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179" fontId="13" fillId="3" borderId="12" xfId="0" applyNumberFormat="1" applyFont="1" applyFill="1" applyBorder="1" applyAlignment="1">
      <alignment horizontal="center" vertical="center"/>
    </xf>
    <xf numFmtId="0" fontId="40" fillId="13" borderId="24" xfId="0" applyFont="1" applyFill="1" applyBorder="1" applyAlignment="1">
      <alignment horizontal="center" vertical="center"/>
    </xf>
    <xf numFmtId="0" fontId="40" fillId="13" borderId="25" xfId="0" applyFont="1" applyFill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9" fillId="13" borderId="21" xfId="0" applyFont="1" applyFill="1" applyBorder="1" applyAlignment="1">
      <alignment horizontal="left" vertical="center"/>
    </xf>
    <xf numFmtId="0" fontId="39" fillId="13" borderId="22" xfId="0" applyFont="1" applyFill="1" applyBorder="1" applyAlignment="1">
      <alignment horizontal="left" vertical="center"/>
    </xf>
    <xf numFmtId="0" fontId="39" fillId="13" borderId="23" xfId="0" applyFont="1" applyFill="1" applyBorder="1" applyAlignment="1">
      <alignment horizontal="left" vertical="center"/>
    </xf>
    <xf numFmtId="0" fontId="40" fillId="13" borderId="21" xfId="0" applyFont="1" applyFill="1" applyBorder="1" applyAlignment="1">
      <alignment horizontal="center" vertical="center"/>
    </xf>
    <xf numFmtId="0" fontId="40" fillId="13" borderId="22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</cellXfs>
  <cellStyles count="1">
    <cellStyle name="표준" xfId="0" builtinId="0"/>
  </cellStyles>
  <dxfs count="15">
    <dxf>
      <fill>
        <patternFill>
          <bgColor rgb="FFFBE4E4"/>
        </patternFill>
      </fill>
    </dxf>
    <dxf>
      <fill>
        <patternFill>
          <bgColor rgb="FFEAF2E9"/>
        </patternFill>
      </fill>
    </dxf>
    <dxf>
      <font>
        <sz val="8"/>
        <color rgb="FFA0A4A8"/>
        <name val="맑은 고딕"/>
        <charset val="1"/>
      </font>
      <fill>
        <patternFill>
          <bgColor rgb="FFF0F0F0"/>
        </patternFill>
      </fill>
    </dxf>
    <dxf>
      <fill>
        <patternFill>
          <bgColor rgb="FFFBE4E4"/>
        </patternFill>
      </fill>
    </dxf>
    <dxf>
      <fill>
        <patternFill>
          <bgColor rgb="FFEAF2E9"/>
        </patternFill>
      </fill>
    </dxf>
    <dxf>
      <fill>
        <patternFill>
          <bgColor rgb="FFF7E9EC"/>
        </patternFill>
      </fill>
    </dxf>
    <dxf>
      <font>
        <sz val="9"/>
        <color rgb="FF6B7280"/>
        <name val="맑은 고딕"/>
        <charset val="1"/>
      </font>
    </dxf>
    <dxf>
      <font>
        <b/>
        <sz val="9"/>
        <color rgb="FF3D6B3F"/>
        <name val="맑은 고딕"/>
        <charset val="1"/>
      </font>
      <fill>
        <patternFill>
          <bgColor rgb="FFEAF2E9"/>
        </patternFill>
      </fill>
    </dxf>
    <dxf>
      <font>
        <b/>
        <sz val="9"/>
        <color rgb="FFB02418"/>
        <name val="맑은 고딕"/>
        <charset val="1"/>
      </font>
      <fill>
        <patternFill>
          <bgColor rgb="FFFBE4E4"/>
        </patternFill>
      </fill>
    </dxf>
    <dxf>
      <font>
        <b/>
        <sz val="9"/>
        <color rgb="FF8C1D2E"/>
        <name val="맑은 고딕"/>
        <charset val="1"/>
      </font>
    </dxf>
    <dxf>
      <fill>
        <patternFill>
          <bgColor rgb="FFECF0F6"/>
        </patternFill>
      </fill>
    </dxf>
    <dxf>
      <font>
        <sz val="9"/>
        <color rgb="FF6B7280"/>
        <name val="맑은 고딕"/>
        <charset val="1"/>
      </font>
    </dxf>
    <dxf>
      <font>
        <b/>
        <sz val="9"/>
        <color rgb="FF3D6B3F"/>
        <name val="맑은 고딕"/>
        <charset val="1"/>
      </font>
      <fill>
        <patternFill>
          <bgColor rgb="FFEAF2E9"/>
        </patternFill>
      </fill>
    </dxf>
    <dxf>
      <font>
        <b/>
        <sz val="9"/>
        <color rgb="FFB02418"/>
        <name val="맑은 고딕"/>
        <charset val="1"/>
      </font>
      <fill>
        <patternFill>
          <bgColor rgb="FFFBE4E4"/>
        </patternFill>
      </fill>
    </dxf>
    <dxf>
      <font>
        <b/>
        <sz val="9"/>
        <color rgb="FF2F4A73"/>
        <name val="맑은 고딕"/>
        <charset val="1"/>
      </font>
    </dxf>
  </dxfs>
  <tableStyles count="0" defaultTableStyle="TableStyleMedium2" defaultPivotStyle="PivotStyleLight16"/>
  <colors>
    <indexedColors>
      <rgbColor rgb="FF000000"/>
      <rgbColor rgb="FFFAFA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A0A4A8"/>
      <rgbColor rgb="FF8C1D2E"/>
      <rgbColor rgb="FFFDF7E6"/>
      <rgbColor rgb="FFEAF2E9"/>
      <rgbColor rgb="FF660066"/>
      <rgbColor rgb="FFFF8080"/>
      <rgbColor rgb="FF0066CC"/>
      <rgbColor rgb="FFD5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6"/>
      <rgbColor rgb="FFF0F0F0"/>
      <rgbColor rgb="FFF7E9EC"/>
      <rgbColor rgb="FFF2F3F5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B7280"/>
      <rgbColor rgb="FF9AA0A8"/>
      <rgbColor rgb="FF003366"/>
      <rgbColor rgb="FF3D6B3F"/>
      <rgbColor rgb="FF003300"/>
      <rgbColor rgb="FF333300"/>
      <rgbColor rgb="FFB02418"/>
      <rgbColor rgb="FF993366"/>
      <rgbColor rgb="FF2F4A73"/>
      <rgbColor rgb="FF2327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4A73"/>
    <pageSetUpPr fitToPage="1"/>
  </sheetPr>
  <dimension ref="A1:M14"/>
  <sheetViews>
    <sheetView showGridLines="0" zoomScaleNormal="100" workbookViewId="0">
      <selection activeCell="N10" sqref="N10"/>
    </sheetView>
  </sheetViews>
  <sheetFormatPr defaultColWidth="8.73046875" defaultRowHeight="16.899999999999999"/>
  <cols>
    <col min="1" max="1" width="5.59765625" style="119" customWidth="1"/>
    <col min="2" max="2" width="24" style="119" customWidth="1"/>
    <col min="3" max="3" width="18" style="119" customWidth="1"/>
    <col min="4" max="5" width="9" style="119" customWidth="1"/>
    <col min="6" max="7" width="10" style="119" customWidth="1"/>
    <col min="8" max="10" width="9" style="119" customWidth="1"/>
    <col min="11" max="11" width="10" style="119" customWidth="1"/>
    <col min="12" max="12" width="9" style="119" customWidth="1"/>
    <col min="13" max="13" width="24" style="119" customWidth="1"/>
    <col min="14" max="16384" width="8.73046875" style="119"/>
  </cols>
  <sheetData>
    <row r="1" ht="30" customHeight="1">
      <c r="A1" s="169" t="s">
        <v>644</v>
      </c>
      <c r="B1" s="169"/>
      <c r="C1" s="169"/>
      <c r="D1" s="169"/>
      <c r="E1" s="169"/>
      <c r="I1" s="164" t="s">
        <v>0</v>
      </c>
      <c r="J1" s="164"/>
      <c r="K1" s="165">
        <f>'설치 진행현황'!$K$1</f>
      </c>
      <c r="L1" s="165"/>
      <c r="M1" s="165"/>
    </row>
    <row r="2">
      <c r="A2" s="135" t="s">
        <v>645</v>
      </c>
    </row>
    <row r="4">
      <c r="A4" s="136" t="s">
        <v>1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</row>
    <row r="5" ht="18" customHeight="1">
      <c r="A5" s="170" t="s">
        <v>2</v>
      </c>
      <c r="B5" s="170"/>
      <c r="C5" s="170"/>
      <c r="D5" s="170" t="s">
        <v>3</v>
      </c>
      <c r="E5" s="170"/>
      <c r="F5" s="170"/>
      <c r="G5" s="170" t="s">
        <v>646</v>
      </c>
      <c r="H5" s="170"/>
      <c r="I5" s="170"/>
      <c r="J5" s="170" t="s">
        <v>4</v>
      </c>
      <c r="K5" s="170"/>
      <c r="L5" s="170"/>
      <c r="M5" s="170"/>
    </row>
    <row r="6" ht="15.75" customHeight="1">
      <c r="A6" s="159"/>
      <c r="B6" s="159"/>
      <c r="C6" s="159"/>
      <c r="D6" s="138" t="s">
        <v>5</v>
      </c>
      <c r="E6" s="138" t="s">
        <v>6</v>
      </c>
      <c r="F6" s="138" t="s">
        <v>7</v>
      </c>
      <c r="G6" s="138" t="s">
        <v>5</v>
      </c>
      <c r="H6" s="138" t="s">
        <v>6</v>
      </c>
      <c r="I6" s="138" t="s">
        <v>7</v>
      </c>
      <c r="J6" s="138" t="s">
        <v>8</v>
      </c>
      <c r="K6" s="138" t="s">
        <v>6</v>
      </c>
      <c r="L6" s="160" t="s">
        <v>9</v>
      </c>
      <c r="M6" s="160"/>
    </row>
    <row r="7" ht="27.75" customHeight="1">
      <c r="A7" s="159"/>
      <c r="B7" s="159"/>
      <c r="C7" s="159"/>
      <c r="D7" s="3">
        <f ca="1">SUMPRODUCT((차량리스트!$G$2:$G$2=$K$1)*1)</f>
      </c>
      <c r="E7" s="4">
        <f ca="1">SUMPRODUCT((차량리스트!$I$2:$I$2=$K$1)*1)</f>
      </c>
      <c r="F7" s="5">
        <f ca="1">IFERROR(E7/D7,0)</f>
      </c>
      <c r="G7" s="3">
        <f ca="1">SUMPRODUCT((차량리스트!$G$2:$G$2&lt;&gt;"")*(차량리스트!$G$2:$G$2&lt;=$K$1))</f>
      </c>
      <c r="H7" s="4">
        <f ca="1">SUMPRODUCT((차량리스트!$I$2:$I$2&lt;&gt;"")*(차량리스트!$I$2:$I$2&lt;=$K$1))</f>
      </c>
      <c r="I7" s="5">
        <f ca="1">IFERROR(H7/G7,0)</f>
      </c>
      <c r="J7" s="3">
        <f>COUNTA(차량리스트!$F$2:$F$2)</f>
      </c>
      <c r="K7" s="4">
        <f>SUMPRODUCT((차량리스트!$H$2:$H$2="완료")*1)</f>
      </c>
      <c r="L7" s="167">
        <f>IFERROR(K7/J7,0)</f>
      </c>
      <c r="M7" s="167"/>
    </row>
    <row r="8" ht="6" customHeight="1"/>
    <row r="10">
      <c r="A10" s="136" t="s">
        <v>10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</row>
    <row r="11" ht="27.75" customHeight="1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9</v>
      </c>
      <c r="L11" s="6" t="s">
        <v>21</v>
      </c>
      <c r="M11" s="6" t="s">
        <v>22</v>
      </c>
    </row>
    <row r="12" ht="21" customHeight="1">
      <c r="A12" s="8">
        <v>1</v>
      </c>
      <c r="B12" s="139"/>
      <c r="C12" s="139"/>
      <c r="D12" s="10">
        <f>SUMPRODUCT(((차량리스트!$B$2:$B$2=$B12)*(차량리스트!$G$2:$G$2&lt;&gt;"")))</f>
      </c>
      <c r="E12" s="11">
        <f>SUMPRODUCT(((차량리스트!$B$2:$B$2=$B12)*(차량리스트!$G$2:$G$2&lt;&gt;""))*(차량리스트!$J$2:$J$2="대상"))</f>
      </c>
      <c r="F12" s="12">
        <f>IF(SUMPRODUCT(MIN(((차량리스트!$B$2:$B$2=$B12)*(차량리스트!$G$2:$G$2&lt;&gt;""))*차량리스트!$G$2:$G$2+(1-((차량리스트!$B$2:$B$2=$B12)*(차량리스트!$G$2:$G$2&lt;&gt;"")))*99999))=99999,"",SUMPRODUCT(MIN(((차량리스트!$B$2:$B$2=$B12)*(차량리스트!$G$2:$G$2&lt;&gt;""))*차량리스트!$G$2:$G$2+(1-((차량리스트!$B$2:$B$2=$B12)*(차량리스트!$G$2:$G$2&lt;&gt;"")))*99999)))</f>
      </c>
      <c r="G12" s="12">
        <f>IF(SUMPRODUCT(MAX(((차량리스트!$B$2:$B$2=$B12)*(차량리스트!$G$2:$G$2&lt;&gt;""))*차량리스트!$G$2:$G$2))=0,"",SUMPRODUCT(MAX(((차량리스트!$B$2:$B$2=$B12)*(차량리스트!$G$2:$G$2&lt;&gt;""))*차량리스트!$G$2:$G$2)))</f>
      </c>
      <c r="H12" s="11">
        <f ca="1">SUMPRODUCT(((차량리스트!$B$2:$B$2=$B12)*(차량리스트!$G$2:$G$2&lt;&gt;""))*(차량리스트!$I$2:$I$2=$K$1))</f>
      </c>
      <c r="I12" s="11">
        <f ca="1">SUMPRODUCT(((차량리스트!$B$2:$B$2=$B12)*(차량리스트!$G$2:$G$2&lt;&gt;""))*(차량리스트!$I$2:$I$2&lt;&gt;"")*(차량리스트!$I$2:$I$2&lt;=$K$1))</f>
      </c>
      <c r="J12" s="11">
        <f ca="1">D12-I12</f>
      </c>
      <c r="K12" s="13">
        <f ca="1">IFERROR(I12/D12,0)</f>
      </c>
      <c r="L12" s="140">
        <f ca="1">IF(I12&gt;=D12,"완료",IF($K$1&lt;F12,"대기",IF($K$1&gt;G12,"지연","진행중")))</f>
      </c>
      <c r="M12" s="14"/>
    </row>
    <row r="13" ht="21" customHeight="1">
      <c r="A13" s="15">
        <v>2</v>
      </c>
      <c r="B13" s="141"/>
      <c r="C13" s="141"/>
      <c r="D13" s="17">
        <f>SUMPRODUCT(((차량리스트!$B$2:$B$2=$B13)*(차량리스트!$G$2:$G$2&lt;&gt;"")))</f>
      </c>
      <c r="E13" s="18">
        <f>SUMPRODUCT(((차량리스트!$B$2:$B$2=$B13)*(차량리스트!$G$2:$G$2&lt;&gt;""))*(차량리스트!$J$2:$J$2="대상"))</f>
      </c>
      <c r="F13" s="19">
        <f>IF(SUMPRODUCT(MIN(((차량리스트!$B$2:$B$2=$B13)*(차량리스트!$G$2:$G$2&lt;&gt;""))*차량리스트!$G$2:$G$2+(1-((차량리스트!$B$2:$B$2=$B13)*(차량리스트!$G$2:$G$2&lt;&gt;"")))*99999))=99999,"",SUMPRODUCT(MIN(((차량리스트!$B$2:$B$2=$B13)*(차량리스트!$G$2:$G$2&lt;&gt;""))*차량리스트!$G$2:$G$2+(1-((차량리스트!$B$2:$B$2=$B13)*(차량리스트!$G$2:$G$2&lt;&gt;"")))*99999)))</f>
      </c>
      <c r="G13" s="19">
        <f>IF(SUMPRODUCT(MAX(((차량리스트!$B$2:$B$2=$B13)*(차량리스트!$G$2:$G$2&lt;&gt;""))*차량리스트!$G$2:$G$2))=0,"",SUMPRODUCT(MAX(((차량리스트!$B$2:$B$2=$B13)*(차량리스트!$G$2:$G$2&lt;&gt;""))*차량리스트!$G$2:$G$2)))</f>
      </c>
      <c r="H13" s="18">
        <f ca="1">SUMPRODUCT(((차량리스트!$B$2:$B$2=$B13)*(차량리스트!$G$2:$G$2&lt;&gt;""))*(차량리스트!$I$2:$I$2=$K$1))</f>
      </c>
      <c r="I13" s="18">
        <f ca="1">SUMPRODUCT(((차량리스트!$B$2:$B$2=$B13)*(차량리스트!$G$2:$G$2&lt;&gt;""))*(차량리스트!$I$2:$I$2&lt;&gt;"")*(차량리스트!$I$2:$I$2&lt;=$K$1))</f>
      </c>
      <c r="J13" s="18">
        <f ca="1">D13-I13</f>
      </c>
      <c r="K13" s="20">
        <f ca="1">IFERROR(I13/D13,0)</f>
      </c>
      <c r="L13" s="142">
        <f ca="1">IF(I13&gt;=D13,"완료",IF($K$1&lt;F13,"대기",IF($K$1&gt;G13,"지연","진행중")))</f>
      </c>
      <c r="M13" s="14"/>
    </row>
    <row r="14" ht="21.75" customHeight="1">
      <c r="A14" s="168" t="s">
        <v>31</v>
      </c>
      <c r="B14" s="168"/>
      <c r="C14" s="168"/>
      <c r="D14" s="21">
        <f>SUM(D12:D13)</f>
      </c>
      <c r="E14" s="22">
        <f>SUM(E12:E13)</f>
      </c>
      <c r="F14" s="23">
        <f>MIN(F12:F13)</f>
      </c>
      <c r="G14" s="23">
        <f>MAX(G12:G13)</f>
      </c>
      <c r="H14" s="22">
        <f ca="1">SUM(H12:H13)</f>
      </c>
      <c r="I14" s="22">
        <f ca="1">SUM(I12:I13)</f>
      </c>
      <c r="J14" s="22">
        <f ca="1">SUM(J12:J13)</f>
      </c>
      <c r="K14" s="24">
        <f ca="1">IFERROR(I14/D14,0)</f>
      </c>
      <c r="L14" s="25"/>
      <c r="M14" s="25"/>
    </row>
  </sheetData>
  <mergeCells count="11">
    <mergeCell ref="A6:C7"/>
    <mergeCell ref="L6:M6"/>
    <mergeCell ref="L7:M7"/>
    <mergeCell ref="A14:C14"/>
    <mergeCell ref="A1:E1"/>
    <mergeCell ref="I1:J1"/>
    <mergeCell ref="K1:M1"/>
    <mergeCell ref="A5:C5"/>
    <mergeCell ref="D5:F5"/>
    <mergeCell ref="G5:I5"/>
    <mergeCell ref="J5:M5"/>
  </mergeCells>
  <phoneticPr fontId="36" type="noConversion"/>
  <conditionalFormatting sqref="H12:H13">
    <cfRule type="cellIs" dxfId="14" priority="6" operator="greaterThan">
      <formula>0</formula>
    </cfRule>
  </conditionalFormatting>
  <conditionalFormatting sqref="K12:K13">
    <cfRule type="dataBar" priority="2">
      <dataBar>
        <cfvo type="num" val="0"/>
        <cfvo type="num" val="1"/>
        <color rgb="FF2F4A73"/>
      </dataBar>
      <extLst>
        <ext xmlns:x14="http://schemas.microsoft.com/office/spreadsheetml/2009/9/main" uri="{B025F937-C7B1-47D3-B67F-A62EFF666E3E}">
          <x14:id>{C0B23544-1210-4C69-83E3-1B3C1C6983F0}</x14:id>
        </ext>
      </extLst>
    </cfRule>
  </conditionalFormatting>
  <conditionalFormatting sqref="L12:L13">
    <cfRule type="cellIs" dxfId="13" priority="3" operator="equal">
      <formula>"지연"</formula>
    </cfRule>
    <cfRule type="cellIs" dxfId="12" priority="4" operator="equal">
      <formula>"완료"</formula>
    </cfRule>
    <cfRule type="cellIs" dxfId="11" priority="5" operator="equal">
      <formula>"대기"</formula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23544-1210-4C69-83E3-1B3C1C6983F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4A73"/>
            </x14:dataBar>
          </x14:cfRule>
          <xm:sqref>K12:K13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4A73"/>
    <pageSetUpPr fitToPage="1"/>
  </sheetPr>
  <dimension ref="A1:J12"/>
  <sheetViews>
    <sheetView showGridLines="0" zoomScaleNormal="100" workbookViewId="0">
      <pane xSplit="6" ySplit="8" topLeftCell="G9" activePane="bottomRight" state="frozen"/>
      <selection pane="topRight" activeCell="L31" sqref="L31"/>
      <selection pane="bottomLeft" activeCell="L31" sqref="L31"/>
      <selection pane="bottomRight" activeCell="L17" sqref="L17"/>
    </sheetView>
  </sheetViews>
  <sheetFormatPr defaultColWidth="8.73046875" defaultRowHeight="16.899999999999999"/>
  <cols>
    <col min="1" max="1" width="5.59765625" style="119" customWidth="1"/>
    <col min="2" max="2" width="24" style="119" customWidth="1"/>
    <col min="3" max="3" width="18" style="119" customWidth="1"/>
    <col min="4" max="5" width="8" style="119" customWidth="1"/>
    <col min="6" max="6" width="8.3984375" style="119" customWidth="1"/>
    <col min="7" max="10" width="6.3984375" style="119" customWidth="1"/>
    <col min="11" max="16384" width="8.73046875" style="119"/>
  </cols>
  <sheetData>
    <row r="1" ht="30" customHeight="1">
      <c r="A1" s="169" t="s">
        <v>648</v>
      </c>
      <c r="B1" s="169"/>
      <c r="C1" s="169"/>
      <c r="D1" s="169"/>
      <c r="E1" s="169"/>
    </row>
    <row r="2">
      <c r="A2" s="135" t="s">
        <v>645</v>
      </c>
    </row>
    <row r="4" ht="16.5" customHeight="1">
      <c r="A4" s="177" t="s">
        <v>32</v>
      </c>
      <c r="B4" s="177"/>
      <c r="C4" s="177"/>
      <c r="D4" s="177"/>
      <c r="E4" s="177"/>
      <c r="F4" s="177"/>
      <c r="G4" s="176">
        <f>G5</f>
      </c>
      <c r="H4" s="176"/>
      <c r="I4" s="176">
        <f>G4+I5</f>
      </c>
      <c r="J4" s="176"/>
    </row>
    <row r="5" ht="16.5" customHeight="1">
      <c r="A5" s="177" t="s">
        <v>33</v>
      </c>
      <c r="B5" s="177"/>
      <c r="C5" s="177"/>
      <c r="D5" s="177"/>
      <c r="E5" s="177"/>
      <c r="F5" s="177"/>
      <c r="G5" s="178">
        <f>SUM(G9:G10)</f>
      </c>
      <c r="H5" s="178"/>
      <c r="I5" s="178">
        <f>SUM(I9:I10)</f>
      </c>
      <c r="J5" s="178"/>
    </row>
    <row r="6" ht="21" customHeight="1">
      <c r="A6" s="174" t="s">
        <v>34</v>
      </c>
      <c r="B6" s="174"/>
      <c r="C6" s="174"/>
      <c r="D6" s="174"/>
      <c r="E6" s="174"/>
      <c r="F6" s="174"/>
      <c r="G6" s="173"/>
      <c r="H6" s="173"/>
      <c r="I6" s="173"/>
      <c r="J6" s="173"/>
    </row>
    <row r="7" ht="18" customHeight="1">
      <c r="A7" s="174" t="s">
        <v>35</v>
      </c>
      <c r="B7" s="174"/>
      <c r="C7" s="174"/>
      <c r="D7" s="174"/>
      <c r="E7" s="174"/>
      <c r="F7" s="174"/>
      <c r="G7" s="175">
        <f>CHOOSE(WEEKDAY(G6),"일","월","화","수","목","금","토")</f>
      </c>
      <c r="H7" s="175"/>
      <c r="I7" s="175">
        <f>CHOOSE(WEEKDAY(I6),"일","월","화","수","목","금","토")</f>
      </c>
      <c r="J7" s="175"/>
    </row>
    <row r="8" ht="27.75" customHeight="1">
      <c r="A8" s="6" t="s">
        <v>11</v>
      </c>
      <c r="B8" s="6" t="s">
        <v>12</v>
      </c>
      <c r="C8" s="6" t="s">
        <v>13</v>
      </c>
      <c r="D8" s="6" t="s">
        <v>36</v>
      </c>
      <c r="E8" s="6" t="s">
        <v>37</v>
      </c>
      <c r="F8" s="6" t="s">
        <v>38</v>
      </c>
      <c r="G8" s="145" t="s">
        <v>5</v>
      </c>
      <c r="H8" s="146" t="s">
        <v>6</v>
      </c>
      <c r="I8" s="145" t="s">
        <v>5</v>
      </c>
      <c r="J8" s="146" t="s">
        <v>6</v>
      </c>
    </row>
    <row r="9" ht="21" customHeight="1">
      <c r="A9" s="8">
        <v>1</v>
      </c>
      <c r="B9" s="139"/>
      <c r="C9" s="139"/>
      <c r="D9" s="10">
        <f>SUMPRODUCT(((차량리스트!$B$2:$B$2=$B9)*(차량리스트!$G$2:$G$2&lt;&gt;"")))</f>
      </c>
      <c r="E9" s="11">
        <f>SUMPRODUCT(((차량리스트!$B$2:$B$2=$B9)*(차량리스트!$G$2:$G$2&lt;&gt;""))*(차량리스트!$H$2:$H$2="완료"))</f>
      </c>
      <c r="F9" s="11">
        <f>D9-E9</f>
      </c>
      <c r="G9" s="26">
        <f>SUMPRODUCT(((차량리스트!$B$2:$B$2=$B9)*(차량리스트!$G$2:$G$2&lt;&gt;""))*(차량리스트!$G$2:$G$2=G$6))</f>
      </c>
      <c r="H9" s="27">
        <f>SUMPRODUCT(((차량리스트!$B$2:$B$2=$B9)*(차량리스트!$G$2:$G$2&lt;&gt;""))*(차량리스트!$I$2:$I$2=G$6))</f>
      </c>
      <c r="I9" s="26">
        <f>SUMPRODUCT(((차량리스트!$B$2:$B$2=$B9)*(차량리스트!$G$2:$G$2&lt;&gt;""))*(차량리스트!$G$2:$G$2=I$6))</f>
      </c>
      <c r="J9" s="27">
        <f>SUMPRODUCT(((차량리스트!$B$2:$B$2=$B9)*(차량리스트!$G$2:$G$2&lt;&gt;""))*(차량리스트!$I$2:$I$2=I$6))</f>
      </c>
    </row>
    <row r="10" ht="21" customHeight="1">
      <c r="A10" s="15">
        <v>2</v>
      </c>
      <c r="B10" s="141"/>
      <c r="C10" s="141"/>
      <c r="D10" s="17">
        <f>SUMPRODUCT(((차량리스트!$B$2:$B$2=$B10)*(차량리스트!$G$2:$G$2&lt;&gt;"")))</f>
      </c>
      <c r="E10" s="18">
        <f>SUMPRODUCT(((차량리스트!$B$2:$B$2=$B10)*(차량리스트!$G$2:$G$2&lt;&gt;""))*(차량리스트!$H$2:$H$2="완료"))</f>
      </c>
      <c r="F10" s="18">
        <f>D10-E10</f>
      </c>
      <c r="G10" s="28">
        <f>SUMPRODUCT(((차량리스트!$B$2:$B$2=$B10)*(차량리스트!$G$2:$G$2&lt;&gt;""))*(차량리스트!$G$2:$G$2=G$6))</f>
      </c>
      <c r="H10" s="29">
        <f>SUMPRODUCT(((차량리스트!$B$2:$B$2=$B10)*(차량리스트!$G$2:$G$2&lt;&gt;""))*(차량리스트!$I$2:$I$2=G$6))</f>
      </c>
      <c r="I10" s="28">
        <f>SUMPRODUCT(((차량리스트!$B$2:$B$2=$B10)*(차량리스트!$G$2:$G$2&lt;&gt;""))*(차량리스트!$G$2:$G$2=I$6))</f>
      </c>
      <c r="J10" s="29">
        <f>SUMPRODUCT(((차량리스트!$B$2:$B$2=$B10)*(차량리스트!$G$2:$G$2&lt;&gt;""))*(차량리스트!$I$2:$I$2=I$6))</f>
      </c>
    </row>
    <row r="11" ht="21.75" customHeight="1">
      <c r="A11" s="168" t="s">
        <v>31</v>
      </c>
      <c r="B11" s="168"/>
      <c r="C11" s="168"/>
      <c r="D11" s="21">
        <f>SUM(D9:D10)</f>
      </c>
      <c r="E11" s="22">
        <f>SUM(E9:E10)</f>
      </c>
      <c r="F11" s="22">
        <f>SUM(F9:F10)</f>
      </c>
      <c r="G11" s="30">
        <f>SUM(G9:G10)</f>
      </c>
      <c r="H11" s="31">
        <f>SUM(H9:H10)</f>
      </c>
      <c r="I11" s="30">
        <f>SUM(I9:I10)</f>
      </c>
      <c r="J11" s="31">
        <f>SUM(J9:J10)</f>
      </c>
    </row>
    <row r="12">
      <c r="A12" s="172" t="s">
        <v>39</v>
      </c>
      <c r="B12" s="172"/>
      <c r="C12" s="172"/>
      <c r="D12" s="172"/>
      <c r="E12" s="172"/>
      <c r="F12" s="172"/>
      <c r="G12" s="171">
        <f>H11</f>
      </c>
      <c r="H12" s="171"/>
      <c r="I12" s="171">
        <f>G12+J11</f>
      </c>
      <c r="J12" s="171"/>
    </row>
  </sheetData>
  <mergeCells count="17">
    <mergeCell ref="A1:E1"/>
    <mergeCell ref="A4:F4"/>
    <mergeCell ref="G4:H4"/>
    <mergeCell ref="I4:J4"/>
    <mergeCell ref="A5:F5"/>
    <mergeCell ref="G5:H5"/>
    <mergeCell ref="I5:J5"/>
    <mergeCell ref="A6:F6"/>
    <mergeCell ref="G6:H6"/>
    <mergeCell ref="I6:J6"/>
    <mergeCell ref="A7:F7"/>
    <mergeCell ref="G7:H7"/>
    <mergeCell ref="I7:J7"/>
    <mergeCell ref="A11:C11"/>
    <mergeCell ref="A12:F12"/>
    <mergeCell ref="G12:H12"/>
    <mergeCell ref="I12:J12"/>
  </mergeCells>
  <phoneticPr fontId="36" type="noConversion"/>
  <conditionalFormatting sqref="G9:J10">
    <cfRule type="cellIs" dxfId="10" priority="2" operator="greaterThan">
      <formula>0</formula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4A73"/>
    <pageSetUpPr fitToPage="1"/>
  </sheetPr>
  <dimension ref="A1:M8"/>
  <sheetViews>
    <sheetView showGridLines="0" zoomScaleNormal="100" workbookViewId="0">
      <selection sqref="A1:F1"/>
    </sheetView>
  </sheetViews>
  <sheetFormatPr defaultColWidth="8.73046875" defaultRowHeight="16.899999999999999"/>
  <cols>
    <col min="1" max="1" width="5.59765625" style="119" customWidth="1"/>
    <col min="2" max="2" width="13" style="119" customWidth="1"/>
    <col min="3" max="3" width="6.59765625" style="119" customWidth="1"/>
    <col min="4" max="4" width="18" style="119" customWidth="1"/>
    <col min="5" max="5" width="24" style="119" customWidth="1"/>
    <col min="6" max="8" width="8" style="119" customWidth="1"/>
    <col min="9" max="9" width="10.59765625" style="119" customWidth="1"/>
    <col min="10" max="11" width="10" style="119" customWidth="1"/>
    <col min="12" max="12" width="11.3984375" style="119" customWidth="1"/>
    <col min="13" max="13" width="11" style="119" customWidth="1"/>
    <col min="14" max="16384" width="8.73046875" style="119"/>
  </cols>
  <sheetData>
    <row r="1" ht="30" customHeight="1">
      <c r="A1" s="169" t="s">
        <v>647</v>
      </c>
      <c r="B1" s="169"/>
      <c r="C1" s="169"/>
      <c r="D1" s="169"/>
      <c r="E1" s="169"/>
      <c r="F1" s="169"/>
    </row>
    <row r="2">
      <c r="A2" s="135" t="s">
        <v>645</v>
      </c>
    </row>
    <row r="4">
      <c r="A4" s="136" t="s">
        <v>40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</row>
    <row r="5" ht="25.5" customHeight="1">
      <c r="A5" s="6" t="s">
        <v>11</v>
      </c>
      <c r="B5" s="6" t="s">
        <v>41</v>
      </c>
      <c r="C5" s="6" t="s">
        <v>42</v>
      </c>
      <c r="D5" s="6" t="s">
        <v>13</v>
      </c>
      <c r="E5" s="6" t="s">
        <v>12</v>
      </c>
      <c r="F5" s="6" t="s">
        <v>5</v>
      </c>
      <c r="G5" s="6" t="s">
        <v>6</v>
      </c>
      <c r="H5" s="6" t="s">
        <v>20</v>
      </c>
      <c r="I5" s="6" t="s">
        <v>43</v>
      </c>
      <c r="J5" s="6" t="s">
        <v>32</v>
      </c>
      <c r="K5" s="6" t="s">
        <v>39</v>
      </c>
      <c r="L5" s="6" t="s">
        <v>44</v>
      </c>
      <c r="M5" s="6" t="s">
        <v>45</v>
      </c>
    </row>
    <row r="6" ht="18.75" customHeight="1">
      <c r="A6" s="8">
        <v>1</v>
      </c>
      <c r="B6" s="32">
        <f>'실사 전개일정'!G$6</f>
      </c>
      <c r="C6" s="143">
        <f>CHOOSE(WEEKDAY($B6),"일","월","화","수","목","금","토")</f>
      </c>
      <c r="D6" s="139">
        <f>IFERROR(INDEX(차량리스트!$D$2:$D$2,MATCH($B6,차량리스트!$G$2:$G$2,0))&amp;IF(SUMPRODUCT((차량리스트!$G$2:$G$2=$B6)*(차량리스트!$D$2:$D$2&lt;&gt;INDEX(차량리스트!$D$2:$D$2,MATCH($B6,차량리스트!$G$2:$G$2,0))))&gt;0," 외",""),"–")</f>
      </c>
      <c r="E6" s="139">
        <f>IFERROR(INDEX(차량리스트!$B$2:$B$2,MATCH($B6,차량리스트!$G$2:$G$2,0))&amp;IF(SUMPRODUCT((차량리스트!$G$2:$G$2=$B6)*(차량리스트!$B$2:$B$2&lt;&gt;INDEX(차량리스트!$B$2:$B$2,MATCH($B6,차량리스트!$G$2:$G$2,0))))&gt;0," 외",""),"–")</f>
      </c>
      <c r="F6" s="34">
        <f>SUMPRODUCT((차량리스트!$G$2:$G$2=$B6)*1)</f>
      </c>
      <c r="G6" s="35">
        <f>SUMPRODUCT((차량리스트!$I$2:$I$2=$B6)*1)</f>
      </c>
      <c r="H6" s="11">
        <f>F6-G6</f>
      </c>
      <c r="I6" s="13">
        <f>IFERROR(G6/F6,0)</f>
      </c>
      <c r="J6" s="36">
        <f>SUMPRODUCT((차량리스트!$G$2:$G$2&lt;&gt;"")*(차량리스트!$G$2:$G$2&lt;=$B6))</f>
      </c>
      <c r="K6" s="37">
        <f>SUMPRODUCT((차량리스트!$I$2:$I$2&lt;&gt;"")*(차량리스트!$I$2:$I$2&lt;=$B6))</f>
      </c>
      <c r="L6" s="13">
        <f>IFERROR(K6/J6,0)</f>
      </c>
      <c r="M6" s="13">
        <f>IFERROR(K6/COUNTA(차량리스트!$F$2:$F$2),0)</f>
      </c>
    </row>
    <row r="7" ht="18.75" customHeight="1">
      <c r="A7" s="15">
        <v>2</v>
      </c>
      <c r="B7" s="38">
        <f>'실사 전개일정'!I$6</f>
      </c>
      <c r="C7" s="144">
        <f>CHOOSE(WEEKDAY($B7),"일","월","화","수","목","금","토")</f>
      </c>
      <c r="D7" s="141">
        <f>IFERROR(INDEX(차량리스트!$D$2:$D$2,MATCH($B7,차량리스트!$G$2:$G$2,0))&amp;IF(SUMPRODUCT((차량리스트!$G$2:$G$2=$B7)*(차량리스트!$D$2:$D$2&lt;&gt;INDEX(차량리스트!$D$2:$D$2,MATCH($B7,차량리스트!$G$2:$G$2,0))))&gt;0," 외",""),"–")</f>
      </c>
      <c r="E7" s="141">
        <f>IFERROR(INDEX(차량리스트!$B$2:$B$2,MATCH($B7,차량리스트!$G$2:$G$2,0))&amp;IF(SUMPRODUCT((차량리스트!$G$2:$G$2=$B7)*(차량리스트!$B$2:$B$2&lt;&gt;INDEX(차량리스트!$B$2:$B$2,MATCH($B7,차량리스트!$G$2:$G$2,0))))&gt;0," 외",""),"–")</f>
      </c>
      <c r="F7" s="40">
        <f>SUMPRODUCT((차량리스트!$G$2:$G$2=$B7)*1)</f>
      </c>
      <c r="G7" s="41">
        <f>SUMPRODUCT((차량리스트!$I$2:$I$2=$B7)*1)</f>
      </c>
      <c r="H7" s="18">
        <f>F7-G7</f>
      </c>
      <c r="I7" s="20">
        <f>IFERROR(G7/F7,0)</f>
      </c>
      <c r="J7" s="42">
        <f>SUMPRODUCT((차량리스트!$G$2:$G$2&lt;&gt;"")*(차량리스트!$G$2:$G$2&lt;=$B7))</f>
      </c>
      <c r="K7" s="43">
        <f>SUMPRODUCT((차량리스트!$I$2:$I$2&lt;&gt;"")*(차량리스트!$I$2:$I$2&lt;=$B7))</f>
      </c>
      <c r="L7" s="20">
        <f>IFERROR(K7/J7,0)</f>
      </c>
      <c r="M7" s="20">
        <f>IFERROR(K7/COUNTA(차량리스트!$F$2:$F$2),0)</f>
      </c>
    </row>
    <row r="8" ht="21" customHeight="1">
      <c r="A8" s="168" t="s">
        <v>31</v>
      </c>
      <c r="B8" s="168"/>
      <c r="C8" s="168"/>
      <c r="D8" s="168"/>
      <c r="E8" s="168"/>
      <c r="F8" s="22">
        <f>SUM(F6:F7)</f>
      </c>
      <c r="G8" s="44">
        <f>SUM(G6:G7)</f>
      </c>
      <c r="H8" s="22">
        <f>SUM(H6:H7)</f>
      </c>
      <c r="I8" s="24">
        <f>IFERROR(G8/F8,0)</f>
      </c>
      <c r="J8" s="25"/>
      <c r="K8" s="25"/>
      <c r="L8" s="25"/>
      <c r="M8" s="25"/>
    </row>
  </sheetData>
  <mergeCells count="2">
    <mergeCell ref="A1:F1"/>
    <mergeCell ref="A8:E8"/>
  </mergeCells>
  <phoneticPr fontId="36" type="noConversion"/>
  <conditionalFormatting sqref="I6:I7">
    <cfRule type="dataBar" priority="2">
      <dataBar>
        <cfvo type="num" val="0"/>
        <cfvo type="num" val="1"/>
        <color rgb="FF2F4A73"/>
      </dataBar>
      <extLst>
        <ext xmlns:x14="http://schemas.microsoft.com/office/spreadsheetml/2009/9/main" uri="{B025F937-C7B1-47D3-B67F-A62EFF666E3E}">
          <x14:id>{2CB314AD-F7AD-4BB1-89D4-E82B503E783A}</x14:id>
        </ext>
      </extLst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B314AD-F7AD-4BB1-89D4-E82B503E783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F4A73"/>
            </x14:dataBar>
          </x14:cfRule>
          <xm:sqref>I6:I7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C1D2E"/>
    <pageSetUpPr fitToPage="1"/>
  </sheetPr>
  <dimension ref="A1:M14"/>
  <sheetViews>
    <sheetView showGridLines="0" zoomScaleNormal="100" workbookViewId="0">
      <selection activeCell="K1" sqref="K1:M1"/>
    </sheetView>
  </sheetViews>
  <sheetFormatPr defaultColWidth="8.73046875" defaultRowHeight="16.899999999999999"/>
  <cols>
    <col min="1" max="1" width="5.59765625" style="119" customWidth="1"/>
    <col min="2" max="2" width="24" style="119" customWidth="1"/>
    <col min="3" max="3" width="18" style="119" customWidth="1"/>
    <col min="4" max="5" width="9" style="119" customWidth="1"/>
    <col min="6" max="7" width="10" style="119" customWidth="1"/>
    <col min="8" max="10" width="9" style="119" customWidth="1"/>
    <col min="11" max="11" width="10" style="119" customWidth="1"/>
    <col min="12" max="12" width="9" style="119" customWidth="1"/>
    <col min="13" max="13" width="24" style="119" customWidth="1"/>
    <col min="14" max="16384" width="8.73046875" style="119"/>
  </cols>
  <sheetData>
    <row r="1" ht="30" customHeight="1">
      <c r="A1" s="163" t="s">
        <v>649</v>
      </c>
      <c r="B1" s="163"/>
      <c r="C1" s="163"/>
      <c r="D1" s="163"/>
      <c r="E1" s="163"/>
      <c r="I1" s="164" t="s">
        <v>0</v>
      </c>
      <c r="J1" s="164"/>
      <c r="K1" s="165">
        <f>TODAY()</f>
      </c>
      <c r="L1" s="165"/>
      <c r="M1" s="165"/>
    </row>
    <row r="2">
      <c r="A2" s="135" t="s">
        <v>46</v>
      </c>
    </row>
    <row r="4">
      <c r="A4" s="147" t="s">
        <v>1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</row>
    <row r="5" ht="18" customHeight="1">
      <c r="A5" s="166" t="s">
        <v>2</v>
      </c>
      <c r="B5" s="166"/>
      <c r="C5" s="166"/>
      <c r="D5" s="166" t="s">
        <v>3</v>
      </c>
      <c r="E5" s="166"/>
      <c r="F5" s="166"/>
      <c r="G5" s="166" t="s">
        <v>646</v>
      </c>
      <c r="H5" s="166"/>
      <c r="I5" s="166"/>
      <c r="J5" s="166" t="s">
        <v>4</v>
      </c>
      <c r="K5" s="166"/>
      <c r="L5" s="166"/>
      <c r="M5" s="166"/>
    </row>
    <row r="6" ht="15.75" customHeight="1">
      <c r="A6" s="159"/>
      <c r="B6" s="159"/>
      <c r="C6" s="159"/>
      <c r="D6" s="138" t="s">
        <v>5</v>
      </c>
      <c r="E6" s="138" t="s">
        <v>47</v>
      </c>
      <c r="F6" s="138" t="s">
        <v>7</v>
      </c>
      <c r="G6" s="138" t="s">
        <v>5</v>
      </c>
      <c r="H6" s="138" t="s">
        <v>47</v>
      </c>
      <c r="I6" s="138" t="s">
        <v>7</v>
      </c>
      <c r="J6" s="138" t="s">
        <v>8</v>
      </c>
      <c r="K6" s="138" t="s">
        <v>47</v>
      </c>
      <c r="L6" s="160" t="s">
        <v>9</v>
      </c>
      <c r="M6" s="160"/>
    </row>
    <row r="7" ht="27.75" customHeight="1">
      <c r="A7" s="159"/>
      <c r="B7" s="159"/>
      <c r="C7" s="159"/>
      <c r="D7" s="3">
        <f>SUMPRODUCT((차량리스트!$J$2:$J$2="대상")*(차량리스트!$K$2:$K$2=$K$1))</f>
      </c>
      <c r="E7" s="47">
        <f ca="1">SUMPRODUCT((차량리스트!$M$2:$M$2=$K$1)*1)</f>
      </c>
      <c r="F7" s="5">
        <f ca="1">IFERROR(E7/D7,0)</f>
      </c>
      <c r="G7" s="3">
        <f>SUMPRODUCT((차량리스트!$J$2:$J$2="대상")*(차량리스트!$K$2:$K$2&lt;&gt;"")*(차량리스트!$K$2:$K$2&lt;=$K$1))</f>
      </c>
      <c r="H7" s="47">
        <f ca="1">SUMPRODUCT((차량리스트!$M$2:$M$2&lt;&gt;"")*(차량리스트!$M$2:$M$2&lt;=$K$1))</f>
      </c>
      <c r="I7" s="5">
        <f ca="1">IFERROR(H7/G7,0)</f>
      </c>
      <c r="J7" s="3">
        <f>SUMPRODUCT((차량리스트!$J$2:$J$2="대상")*1)</f>
      </c>
      <c r="K7" s="47">
        <f>SUMPRODUCT((차량리스트!$L$2:$L$2="완료")*1)</f>
      </c>
      <c r="L7" s="161">
        <f>IFERROR(K7/J7,0)</f>
      </c>
      <c r="M7" s="161"/>
    </row>
    <row r="8" ht="6" customHeight="1"/>
    <row r="10">
      <c r="A10" s="147" t="s">
        <v>10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</row>
    <row r="11" ht="27.75" customHeight="1">
      <c r="A11" s="48" t="s">
        <v>11</v>
      </c>
      <c r="B11" s="48" t="s">
        <v>12</v>
      </c>
      <c r="C11" s="48" t="s">
        <v>13</v>
      </c>
      <c r="D11" s="48" t="s">
        <v>14</v>
      </c>
      <c r="E11" s="48" t="s">
        <v>48</v>
      </c>
      <c r="F11" s="48" t="s">
        <v>49</v>
      </c>
      <c r="G11" s="48" t="s">
        <v>50</v>
      </c>
      <c r="H11" s="48" t="s">
        <v>51</v>
      </c>
      <c r="I11" s="48" t="s">
        <v>52</v>
      </c>
      <c r="J11" s="48" t="s">
        <v>53</v>
      </c>
      <c r="K11" s="48" t="s">
        <v>9</v>
      </c>
      <c r="L11" s="48" t="s">
        <v>21</v>
      </c>
      <c r="M11" s="48" t="s">
        <v>22</v>
      </c>
    </row>
    <row r="12" ht="21" customHeight="1">
      <c r="A12" s="8">
        <v>1</v>
      </c>
      <c r="B12" s="139"/>
      <c r="C12" s="139"/>
      <c r="D12" s="10">
        <f>SUMPRODUCT(((차량리스트!$B$2:$B$2=$B12)*(차량리스트!$J$2:$J$2="대상")))</f>
      </c>
      <c r="E12" s="11">
        <f>SUMPRODUCT(((차량리스트!$B$2:$B$2=$B12)*(차량리스트!$J$2:$J$2="대상"))*(차량리스트!$H$2:$H$2="완료"))</f>
      </c>
      <c r="F12" s="12">
        <f>IF(SUMPRODUCT(MIN(((차량리스트!$B$2:$B$2=$B12)*(차량리스트!$J$2:$J$2="대상")*(차량리스트!$K$2:$K$2&lt;&gt;""))*차량리스트!$K$2:$K$2+(1-((차량리스트!$B$2:$B$2=$B12)*(차량리스트!$J$2:$J$2="대상")*(차량리스트!$K$2:$K$2&lt;&gt;"")))*99999))=99999,"",SUMPRODUCT(MIN(((차량리스트!$B$2:$B$2=$B12)*(차량리스트!$J$2:$J$2="대상")*(차량리스트!$K$2:$K$2&lt;&gt;""))*차량리스트!$K$2:$K$2+(1-((차량리스트!$B$2:$B$2=$B12)*(차량리스트!$J$2:$J$2="대상")*(차량리스트!$K$2:$K$2&lt;&gt;"")))*99999)))</f>
      </c>
      <c r="G12" s="12">
        <f>IF(SUMPRODUCT(MAX(((차량리스트!$B$2:$B$2=$B12)*(차량리스트!$J$2:$J$2="대상")*(차량리스트!$K$2:$K$2&lt;&gt;""))*차량리스트!$K$2:$K$2))=0,"",SUMPRODUCT(MAX(((차량리스트!$B$2:$B$2=$B12)*(차량리스트!$J$2:$J$2="대상")*(차량리스트!$K$2:$K$2&lt;&gt;""))*차량리스트!$K$2:$K$2)))</f>
      </c>
      <c r="H12" s="11">
        <f>SUMPRODUCT(((차량리스트!$B$2:$B$2=$B12)*(차량리스트!$J$2:$J$2="대상"))*(차량리스트!$M$2:$M$2=$K$1))</f>
      </c>
      <c r="I12" s="11">
        <f>SUMPRODUCT(((차량리스트!$B$2:$B$2=$B12)*(차량리스트!$J$2:$J$2="대상"))*(차량리스트!$M$2:$M$2&lt;&gt;"")*(차량리스트!$M$2:$M$2&lt;=$K$1))</f>
      </c>
      <c r="J12" s="11">
        <f ca="1">D12-I12</f>
      </c>
      <c r="K12" s="13">
        <f ca="1">IFERROR(I12/D12,0)</f>
      </c>
      <c r="L12" s="140">
        <f ca="1">IF(I12&gt;=D12,"완료",IF($K$1&lt;F12,"대기",IF($K$1&gt;G12,"지연","진행중")))</f>
      </c>
      <c r="M12" s="14"/>
    </row>
    <row r="13" ht="21" customHeight="1">
      <c r="A13" s="15">
        <v>2</v>
      </c>
      <c r="B13" s="141"/>
      <c r="C13" s="141"/>
      <c r="D13" s="17">
        <f>SUMPRODUCT(((차량리스트!$B$2:$B$2=$B13)*(차량리스트!$J$2:$J$2="대상")))</f>
      </c>
      <c r="E13" s="18">
        <f>SUMPRODUCT(((차량리스트!$B$2:$B$2=$B13)*(차량리스트!$J$2:$J$2="대상"))*(차량리스트!$H$2:$H$2="완료"))</f>
      </c>
      <c r="F13" s="19">
        <f>IF(SUMPRODUCT(MIN(((차량리스트!$B$2:$B$2=$B13)*(차량리스트!$J$2:$J$2="대상")*(차량리스트!$K$2:$K$2&lt;&gt;""))*차량리스트!$K$2:$K$2+(1-((차량리스트!$B$2:$B$2=$B13)*(차량리스트!$J$2:$J$2="대상")*(차량리스트!$K$2:$K$2&lt;&gt;"")))*99999))=99999,"",SUMPRODUCT(MIN(((차량리스트!$B$2:$B$2=$B13)*(차량리스트!$J$2:$J$2="대상")*(차량리스트!$K$2:$K$2&lt;&gt;""))*차량리스트!$K$2:$K$2+(1-((차량리스트!$B$2:$B$2=$B13)*(차량리스트!$J$2:$J$2="대상")*(차량리스트!$K$2:$K$2&lt;&gt;"")))*99999)))</f>
      </c>
      <c r="G13" s="19">
        <f>IF(SUMPRODUCT(MAX(((차량리스트!$B$2:$B$2=$B13)*(차량리스트!$J$2:$J$2="대상")*(차량리스트!$K$2:$K$2&lt;&gt;""))*차량리스트!$K$2:$K$2))=0,"",SUMPRODUCT(MAX(((차량리스트!$B$2:$B$2=$B13)*(차량리스트!$J$2:$J$2="대상")*(차량리스트!$K$2:$K$2&lt;&gt;""))*차량리스트!$K$2:$K$2)))</f>
      </c>
      <c r="H13" s="18">
        <f>SUMPRODUCT(((차량리스트!$B$2:$B$2=$B13)*(차량리스트!$J$2:$J$2="대상"))*(차량리스트!$M$2:$M$2=$K$1))</f>
      </c>
      <c r="I13" s="18">
        <f>SUMPRODUCT(((차량리스트!$B$2:$B$2=$B13)*(차량리스트!$J$2:$J$2="대상"))*(차량리스트!$M$2:$M$2&lt;&gt;"")*(차량리스트!$M$2:$M$2&lt;=$K$1))</f>
      </c>
      <c r="J13" s="18">
        <f ca="1">D13-I13</f>
      </c>
      <c r="K13" s="20">
        <f ca="1">IFERROR(I13/D13,0)</f>
      </c>
      <c r="L13" s="142">
        <f ca="1">IF(I13&gt;=D13,"완료",IF($K$1&lt;F13,"대기",IF($K$1&gt;G13,"지연","진행중")))</f>
      </c>
      <c r="M13" s="14"/>
    </row>
    <row r="14" ht="21.75" customHeight="1">
      <c r="A14" s="162" t="s">
        <v>31</v>
      </c>
      <c r="B14" s="162"/>
      <c r="C14" s="162"/>
      <c r="D14" s="50">
        <f>SUM(D12:D13)</f>
      </c>
      <c r="E14" s="51">
        <f>SUM(E12:E13)</f>
      </c>
      <c r="F14" s="52">
        <f>MIN(F12:F13)</f>
      </c>
      <c r="G14" s="52">
        <f>MAX(G12:G13)</f>
      </c>
      <c r="H14" s="51">
        <f ca="1">SUM(H12:H13)</f>
      </c>
      <c r="I14" s="51">
        <f ca="1">SUM(I12:I13)</f>
      </c>
      <c r="J14" s="51">
        <f ca="1">SUM(J12:J13)</f>
      </c>
      <c r="K14" s="53">
        <f ca="1">IFERROR(I14/D14,0)</f>
      </c>
      <c r="L14" s="54"/>
      <c r="M14" s="54"/>
    </row>
  </sheetData>
  <mergeCells count="11">
    <mergeCell ref="A6:C7"/>
    <mergeCell ref="L6:M6"/>
    <mergeCell ref="L7:M7"/>
    <mergeCell ref="A14:C14"/>
    <mergeCell ref="A1:E1"/>
    <mergeCell ref="I1:J1"/>
    <mergeCell ref="K1:M1"/>
    <mergeCell ref="A5:C5"/>
    <mergeCell ref="D5:F5"/>
    <mergeCell ref="G5:I5"/>
    <mergeCell ref="J5:M5"/>
  </mergeCells>
  <phoneticPr fontId="36" type="noConversion"/>
  <conditionalFormatting sqref="H12:H13">
    <cfRule type="cellIs" dxfId="9" priority="6" operator="greaterThan">
      <formula>0</formula>
    </cfRule>
  </conditionalFormatting>
  <conditionalFormatting sqref="K12:K13">
    <cfRule type="dataBar" priority="2">
      <dataBar>
        <cfvo type="num" val="0"/>
        <cfvo type="num" val="1"/>
        <color rgb="FF8C1D2E"/>
      </dataBar>
      <extLst>
        <ext xmlns:x14="http://schemas.microsoft.com/office/spreadsheetml/2009/9/main" uri="{B025F937-C7B1-47D3-B67F-A62EFF666E3E}">
          <x14:id>{3AD8A49D-DD2E-4A70-B4CC-7B32F8E8C875}</x14:id>
        </ext>
      </extLst>
    </cfRule>
  </conditionalFormatting>
  <conditionalFormatting sqref="L12:L13">
    <cfRule type="cellIs" dxfId="8" priority="3" operator="equal">
      <formula>"지연"</formula>
    </cfRule>
    <cfRule type="cellIs" dxfId="7" priority="4" operator="equal">
      <formula>"완료"</formula>
    </cfRule>
    <cfRule type="cellIs" dxfId="6" priority="5" operator="equal">
      <formula>"대기"</formula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D8A49D-DD2E-4A70-B4CC-7B32F8E8C87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8C1D2E"/>
            </x14:dataBar>
          </x14:cfRule>
          <xm:sqref>K12:K13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C1D2E"/>
    <pageSetUpPr fitToPage="1"/>
  </sheetPr>
  <dimension ref="A1:J12"/>
  <sheetViews>
    <sheetView showGridLines="0" zoomScaleNormal="100" workbookViewId="0">
      <pane xSplit="6" ySplit="8" topLeftCell="G9" activePane="bottomRight" state="frozen"/>
      <selection pane="topRight" activeCell="L31" sqref="L31"/>
      <selection pane="bottomLeft" activeCell="L31" sqref="L31"/>
      <selection pane="bottomRight" activeCell="H9" sqref="H9"/>
    </sheetView>
  </sheetViews>
  <sheetFormatPr defaultColWidth="8.73046875" defaultRowHeight="16.899999999999999"/>
  <cols>
    <col min="1" max="1" width="5.59765625" style="119" customWidth="1"/>
    <col min="2" max="2" width="24" style="119" customWidth="1"/>
    <col min="3" max="3" width="18" style="119" customWidth="1"/>
    <col min="4" max="5" width="8" style="119" customWidth="1"/>
    <col min="6" max="6" width="8.3984375" style="119" customWidth="1"/>
    <col min="7" max="10" width="6.3984375" style="119" customWidth="1"/>
    <col min="11" max="16384" width="8.73046875" style="119"/>
  </cols>
  <sheetData>
    <row r="1" ht="30" customHeight="1">
      <c r="A1" s="163" t="s">
        <v>650</v>
      </c>
      <c r="B1" s="163"/>
      <c r="C1" s="163"/>
      <c r="D1" s="163"/>
      <c r="E1" s="163"/>
    </row>
    <row r="2">
      <c r="A2" s="135" t="s">
        <v>46</v>
      </c>
    </row>
    <row r="4" ht="16.5" customHeight="1">
      <c r="A4" s="177" t="s">
        <v>32</v>
      </c>
      <c r="B4" s="177"/>
      <c r="C4" s="177"/>
      <c r="D4" s="177"/>
      <c r="E4" s="177"/>
      <c r="F4" s="177"/>
      <c r="G4" s="176">
        <f>G5</f>
      </c>
      <c r="H4" s="176"/>
      <c r="I4" s="176">
        <f>G4+I5</f>
      </c>
      <c r="J4" s="176"/>
    </row>
    <row r="5" ht="16.5" customHeight="1">
      <c r="A5" s="177" t="s">
        <v>33</v>
      </c>
      <c r="B5" s="177"/>
      <c r="C5" s="177"/>
      <c r="D5" s="177"/>
      <c r="E5" s="177"/>
      <c r="F5" s="177"/>
      <c r="G5" s="178">
        <f>SUM(G9:G10)</f>
      </c>
      <c r="H5" s="178"/>
      <c r="I5" s="178">
        <f>SUM(I9:I10)</f>
      </c>
      <c r="J5" s="178"/>
    </row>
    <row r="6" ht="21" customHeight="1">
      <c r="A6" s="174" t="s">
        <v>34</v>
      </c>
      <c r="B6" s="174"/>
      <c r="C6" s="174"/>
      <c r="D6" s="174"/>
      <c r="E6" s="174"/>
      <c r="F6" s="174"/>
      <c r="G6" s="181"/>
      <c r="H6" s="181"/>
      <c r="I6" s="181"/>
      <c r="J6" s="181"/>
    </row>
    <row r="7" ht="18" customHeight="1">
      <c r="A7" s="174" t="s">
        <v>35</v>
      </c>
      <c r="B7" s="174"/>
      <c r="C7" s="174"/>
      <c r="D7" s="174"/>
      <c r="E7" s="174"/>
      <c r="F7" s="174"/>
      <c r="G7" s="175">
        <f>CHOOSE(WEEKDAY(G6),"일","월","화","수","목","금","토")</f>
      </c>
      <c r="H7" s="175"/>
      <c r="I7" s="175">
        <f>CHOOSE(WEEKDAY(I6),"일","월","화","수","목","금","토")</f>
      </c>
      <c r="J7" s="175"/>
    </row>
    <row r="8" ht="27.75" customHeight="1">
      <c r="A8" s="48" t="s">
        <v>11</v>
      </c>
      <c r="B8" s="48" t="s">
        <v>12</v>
      </c>
      <c r="C8" s="48" t="s">
        <v>13</v>
      </c>
      <c r="D8" s="48" t="s">
        <v>36</v>
      </c>
      <c r="E8" s="48" t="s">
        <v>61</v>
      </c>
      <c r="F8" s="48" t="s">
        <v>62</v>
      </c>
      <c r="G8" s="149" t="s">
        <v>5</v>
      </c>
      <c r="H8" s="150" t="s">
        <v>47</v>
      </c>
      <c r="I8" s="149" t="s">
        <v>5</v>
      </c>
      <c r="J8" s="150" t="s">
        <v>47</v>
      </c>
    </row>
    <row r="9" ht="21" customHeight="1">
      <c r="A9" s="8">
        <v>1</v>
      </c>
      <c r="B9" s="139"/>
      <c r="C9" s="139"/>
      <c r="D9" s="10">
        <f>SUMPRODUCT(((차량리스트!$B$2:$B$2=$B9)*(차량리스트!$J$2:$J$2="대상")))</f>
      </c>
      <c r="E9" s="11">
        <f>SUMPRODUCT(((차량리스트!$B$2:$B$2=$B9)*(차량리스트!$J$2:$J$2="대상"))*(차량리스트!$L$2:$L$2="완료"))</f>
      </c>
      <c r="F9" s="11">
        <f>D9-E9</f>
      </c>
      <c r="G9" s="26">
        <f>SUMPRODUCT(((차량리스트!$B$2:$B$2=$B9)*(차량리스트!$J$2:$J$2="대상"))*(차량리스트!$K$2:$K$2=G$6))</f>
      </c>
      <c r="H9" s="55">
        <f>SUMPRODUCT(((차량리스트!$B$2:$B$2=$B9)*(차량리스트!$J$2:$J$2="대상"))*(차량리스트!$M$2:$M$2=G$6))</f>
      </c>
      <c r="I9" s="26">
        <f>SUMPRODUCT(((차량리스트!$B$2:$B$2=$B9)*(차량리스트!$J$2:$J$2="대상"))*(차량리스트!$K$2:$K$2=I$6))</f>
      </c>
      <c r="J9" s="55">
        <f>SUMPRODUCT(((차량리스트!$B$2:$B$2=$B9)*(차량리스트!$J$2:$J$2="대상"))*(차량리스트!$M$2:$M$2=I$6))</f>
      </c>
    </row>
    <row r="10" ht="21" customHeight="1">
      <c r="A10" s="15">
        <v>2</v>
      </c>
      <c r="B10" s="141"/>
      <c r="C10" s="141"/>
      <c r="D10" s="17">
        <f>SUMPRODUCT(((차량리스트!$B$2:$B$2=$B10)*(차량리스트!$J$2:$J$2="대상")))</f>
      </c>
      <c r="E10" s="18">
        <f>SUMPRODUCT(((차량리스트!$B$2:$B$2=$B10)*(차량리스트!$J$2:$J$2="대상"))*(차량리스트!$L$2:$L$2="완료"))</f>
      </c>
      <c r="F10" s="18">
        <f>D10-E10</f>
      </c>
      <c r="G10" s="28">
        <f>SUMPRODUCT(((차량리스트!$B$2:$B$2=$B10)*(차량리스트!$J$2:$J$2="대상"))*(차량리스트!$K$2:$K$2=G$6))</f>
      </c>
      <c r="H10" s="56">
        <f>SUMPRODUCT(((차량리스트!$B$2:$B$2=$B10)*(차량리스트!$J$2:$J$2="대상"))*(차량리스트!$M$2:$M$2=G$6))</f>
      </c>
      <c r="I10" s="28">
        <f>SUMPRODUCT(((차량리스트!$B$2:$B$2=$B10)*(차량리스트!$J$2:$J$2="대상"))*(차량리스트!$K$2:$K$2=I$6))</f>
      </c>
      <c r="J10" s="56">
        <f>SUMPRODUCT(((차량리스트!$B$2:$B$2=$B10)*(차량리스트!$J$2:$J$2="대상"))*(차량리스트!$M$2:$M$2=I$6))</f>
      </c>
    </row>
    <row r="11" ht="21.75" customHeight="1">
      <c r="A11" s="162" t="s">
        <v>31</v>
      </c>
      <c r="B11" s="162"/>
      <c r="C11" s="162"/>
      <c r="D11" s="50">
        <f>SUM(D9:D10)</f>
      </c>
      <c r="E11" s="51">
        <f>SUM(E9:E10)</f>
      </c>
      <c r="F11" s="51">
        <f>SUM(F9:F10)</f>
      </c>
      <c r="G11" s="57">
        <f>SUM(G9:G10)</f>
      </c>
      <c r="H11" s="58">
        <f>SUM(H9:H10)</f>
      </c>
      <c r="I11" s="57">
        <f>SUM(I9:I10)</f>
      </c>
      <c r="J11" s="58">
        <f>SUM(J9:J10)</f>
      </c>
    </row>
    <row r="12">
      <c r="A12" s="180" t="s">
        <v>63</v>
      </c>
      <c r="B12" s="180"/>
      <c r="C12" s="180"/>
      <c r="D12" s="180"/>
      <c r="E12" s="180"/>
      <c r="F12" s="180"/>
      <c r="G12" s="179">
        <f>H11</f>
      </c>
      <c r="H12" s="179"/>
      <c r="I12" s="179">
        <f>G12+J11</f>
      </c>
      <c r="J12" s="179"/>
    </row>
  </sheetData>
  <mergeCells count="17">
    <mergeCell ref="A1:E1"/>
    <mergeCell ref="A4:F4"/>
    <mergeCell ref="G4:H4"/>
    <mergeCell ref="I4:J4"/>
    <mergeCell ref="A5:F5"/>
    <mergeCell ref="G5:H5"/>
    <mergeCell ref="I5:J5"/>
    <mergeCell ref="A6:F6"/>
    <mergeCell ref="G6:H6"/>
    <mergeCell ref="I6:J6"/>
    <mergeCell ref="A7:F7"/>
    <mergeCell ref="G7:H7"/>
    <mergeCell ref="I7:J7"/>
    <mergeCell ref="A11:C11"/>
    <mergeCell ref="A12:F12"/>
    <mergeCell ref="G12:H12"/>
    <mergeCell ref="I12:J12"/>
  </mergeCells>
  <phoneticPr fontId="36" type="noConversion"/>
  <conditionalFormatting sqref="G9:J10">
    <cfRule type="cellIs" dxfId="5" priority="2" operator="greaterThan">
      <formula>0</formula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C1D2E"/>
    <pageSetUpPr fitToPage="1"/>
  </sheetPr>
  <dimension ref="A1:M8"/>
  <sheetViews>
    <sheetView showGridLines="0" zoomScaleNormal="100" workbookViewId="0">
      <selection sqref="A1:F1"/>
    </sheetView>
  </sheetViews>
  <sheetFormatPr defaultColWidth="8.73046875" defaultRowHeight="16.899999999999999"/>
  <cols>
    <col min="1" max="1" width="5.59765625" style="119" customWidth="1"/>
    <col min="2" max="2" width="13" style="119" customWidth="1"/>
    <col min="3" max="3" width="6.59765625" style="119" customWidth="1"/>
    <col min="4" max="4" width="18" style="119" customWidth="1"/>
    <col min="5" max="5" width="24" style="119" customWidth="1"/>
    <col min="6" max="8" width="8" style="119" customWidth="1"/>
    <col min="9" max="9" width="10.59765625" style="119" customWidth="1"/>
    <col min="10" max="11" width="10" style="119" customWidth="1"/>
    <col min="12" max="12" width="11.3984375" style="119" customWidth="1"/>
    <col min="13" max="13" width="11" style="119" customWidth="1"/>
    <col min="14" max="16384" width="8.73046875" style="119"/>
  </cols>
  <sheetData>
    <row r="1" ht="30" customHeight="1">
      <c r="A1" s="163" t="s">
        <v>651</v>
      </c>
      <c r="B1" s="163"/>
      <c r="C1" s="163"/>
      <c r="D1" s="163"/>
      <c r="E1" s="163"/>
      <c r="F1" s="163"/>
    </row>
    <row r="2">
      <c r="A2" s="135" t="s">
        <v>46</v>
      </c>
    </row>
    <row r="4">
      <c r="A4" s="147" t="s">
        <v>40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</row>
    <row r="5" ht="25.5" customHeight="1">
      <c r="A5" s="48" t="s">
        <v>11</v>
      </c>
      <c r="B5" s="48" t="s">
        <v>41</v>
      </c>
      <c r="C5" s="48" t="s">
        <v>42</v>
      </c>
      <c r="D5" s="48" t="s">
        <v>13</v>
      </c>
      <c r="E5" s="48" t="s">
        <v>12</v>
      </c>
      <c r="F5" s="48" t="s">
        <v>5</v>
      </c>
      <c r="G5" s="48" t="s">
        <v>47</v>
      </c>
      <c r="H5" s="48" t="s">
        <v>53</v>
      </c>
      <c r="I5" s="48" t="s">
        <v>43</v>
      </c>
      <c r="J5" s="48" t="s">
        <v>32</v>
      </c>
      <c r="K5" s="48" t="s">
        <v>63</v>
      </c>
      <c r="L5" s="48" t="s">
        <v>44</v>
      </c>
      <c r="M5" s="48" t="s">
        <v>45</v>
      </c>
    </row>
    <row r="6" ht="18.75" customHeight="1">
      <c r="A6" s="8">
        <v>1</v>
      </c>
      <c r="B6" s="32">
        <f>'설치 전개일정'!G$6</f>
      </c>
      <c r="C6" s="143">
        <f>CHOOSE(WEEKDAY($B6),"일","월","화","수","목","금","토")</f>
      </c>
      <c r="D6" s="139">
        <f>IFERROR(INDEX(차량리스트!$D$2:$D$2,MATCH($B6,차량리스트!$K$2:$K$2,0))&amp;IF(SUMPRODUCT((차량리스트!$K$2:$K$2=$B6)*(차량리스트!$D$2:$D$2&lt;&gt;INDEX(차량리스트!$D$2:$D$2,MATCH($B6,차량리스트!$K$2:$K$2,0))))&gt;0," 외",""),"–")</f>
      </c>
      <c r="E6" s="139">
        <f>IFERROR(INDEX(차량리스트!$B$2:$B$2,MATCH($B6,차량리스트!$K$2:$K$2,0))&amp;IF(SUMPRODUCT((차량리스트!$K$2:$K$2=$B6)*(차량리스트!$B$2:$B$2&lt;&gt;INDEX(차량리스트!$B$2:$B$2,MATCH($B6,차량리스트!$K$2:$K$2,0))))&gt;0," 외",""),"–")</f>
      </c>
      <c r="F6" s="34">
        <f>SUMPRODUCT((차량리스트!$J$2:$J$2="대상")*(차량리스트!$K$2:$K$2=$B6))</f>
      </c>
      <c r="G6" s="59">
        <f>SUMPRODUCT((차량리스트!$M$2:$M$2=$B6)*1)</f>
      </c>
      <c r="H6" s="11">
        <f>F6-G6</f>
      </c>
      <c r="I6" s="13">
        <f>IFERROR(G6/F6,0)</f>
      </c>
      <c r="J6" s="36">
        <f>SUMPRODUCT((차량리스트!$J$2:$J$2="대상")*(차량리스트!$K$2:$K$2&lt;&gt;"")*(차량리스트!$K$2:$K$2&lt;=$B6))</f>
      </c>
      <c r="K6" s="37">
        <f>SUMPRODUCT((차량리스트!$M$2:$M$2&lt;&gt;"")*(차량리스트!$M$2:$M$2&lt;=$B6))</f>
      </c>
      <c r="L6" s="13">
        <f>IFERROR(K6/J6,0)</f>
      </c>
      <c r="M6" s="13">
        <f>IFERROR(K6/SUMPRODUCT((차량리스트!$J$2:$J$2="대상")*1),0)</f>
      </c>
    </row>
    <row r="7" ht="18.75" customHeight="1">
      <c r="A7" s="15">
        <v>2</v>
      </c>
      <c r="B7" s="38">
        <f>'설치 전개일정'!I$6</f>
      </c>
      <c r="C7" s="144">
        <f>CHOOSE(WEEKDAY($B7),"일","월","화","수","목","금","토")</f>
      </c>
      <c r="D7" s="141">
        <f>IFERROR(INDEX(차량리스트!$D$2:$D$2,MATCH($B7,차량리스트!$K$2:$K$2,0))&amp;IF(SUMPRODUCT((차량리스트!$K$2:$K$2=$B7)*(차량리스트!$D$2:$D$2&lt;&gt;INDEX(차량리스트!$D$2:$D$2,MATCH($B7,차량리스트!$K$2:$K$2,0))))&gt;0," 외",""),"–")</f>
      </c>
      <c r="E7" s="141">
        <f>IFERROR(INDEX(차량리스트!$B$2:$B$2,MATCH($B7,차량리스트!$K$2:$K$2,0))&amp;IF(SUMPRODUCT((차량리스트!$K$2:$K$2=$B7)*(차량리스트!$B$2:$B$2&lt;&gt;INDEX(차량리스트!$B$2:$B$2,MATCH($B7,차량리스트!$K$2:$K$2,0))))&gt;0," 외",""),"–")</f>
      </c>
      <c r="F7" s="40">
        <f>SUMPRODUCT((차량리스트!$J$2:$J$2="대상")*(차량리스트!$K$2:$K$2=$B7))</f>
      </c>
      <c r="G7" s="60">
        <f>SUMPRODUCT((차량리스트!$M$2:$M$2=$B7)*1)</f>
      </c>
      <c r="H7" s="18">
        <f>F7-G7</f>
      </c>
      <c r="I7" s="20">
        <f>IFERROR(G7/F7,0)</f>
      </c>
      <c r="J7" s="42">
        <f>SUMPRODUCT((차량리스트!$J$2:$J$2="대상")*(차량리스트!$K$2:$K$2&lt;&gt;"")*(차량리스트!$K$2:$K$2&lt;=$B7))</f>
      </c>
      <c r="K7" s="43">
        <f>SUMPRODUCT((차량리스트!$M$2:$M$2&lt;&gt;"")*(차량리스트!$M$2:$M$2&lt;=$B7))</f>
      </c>
      <c r="L7" s="20">
        <f>IFERROR(K7/J7,0)</f>
      </c>
      <c r="M7" s="20">
        <f>IFERROR(K7/SUMPRODUCT((차량리스트!$J$2:$J$2="대상")*1),0)</f>
      </c>
    </row>
    <row r="8" ht="21" customHeight="1">
      <c r="A8" s="162" t="s">
        <v>31</v>
      </c>
      <c r="B8" s="162"/>
      <c r="C8" s="162"/>
      <c r="D8" s="162"/>
      <c r="E8" s="162"/>
      <c r="F8" s="51">
        <f>SUM(F6:F7)</f>
      </c>
      <c r="G8" s="61">
        <f>SUM(G6:G7)</f>
      </c>
      <c r="H8" s="51">
        <f>SUM(H6:H7)</f>
      </c>
      <c r="I8" s="53">
        <f>IFERROR(G8/F8,0)</f>
      </c>
      <c r="J8" s="54"/>
      <c r="K8" s="54"/>
      <c r="L8" s="54"/>
      <c r="M8" s="54"/>
    </row>
  </sheetData>
  <mergeCells count="2">
    <mergeCell ref="A1:F1"/>
    <mergeCell ref="A8:E8"/>
  </mergeCells>
  <phoneticPr fontId="36" type="noConversion"/>
  <conditionalFormatting sqref="I6:I7">
    <cfRule type="dataBar" priority="2">
      <dataBar>
        <cfvo type="num" val="0"/>
        <cfvo type="num" val="1"/>
        <color rgb="FF8C1D2E"/>
      </dataBar>
      <extLst>
        <ext xmlns:x14="http://schemas.microsoft.com/office/spreadsheetml/2009/9/main" uri="{B025F937-C7B1-47D3-B67F-A62EFF666E3E}">
          <x14:id>{453DE6FC-FD53-4F85-B64A-81545F6DE0F3}</x14:id>
        </ext>
      </extLst>
    </cfRule>
  </conditionalFormatting>
  <printOptions horizontalCentered="1"/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3DE6FC-FD53-4F85-B64A-81545F6DE0F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8C1D2E"/>
            </x14:dataBar>
          </x14:cfRule>
          <xm:sqref>I6:I7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7280"/>
  </sheetPr>
  <dimension ref="A1:AL2"/>
  <sheetViews>
    <sheetView showGridLines="0" tabSelected="1" zoomScaleNormal="100" workbookViewId="0">
      <pane xSplit="6" ySplit="1" topLeftCell="G2" activePane="bottomRight" state="frozen"/>
      <selection pane="topRight" activeCell="L2" sqref="L2"/>
      <selection pane="bottomLeft" activeCell="L2" sqref="L2"/>
      <selection pane="bottomRight" activeCell="C6" sqref="C6"/>
    </sheetView>
  </sheetViews>
  <sheetFormatPr defaultColWidth="8.73046875" defaultRowHeight="16.899999999999999"/>
  <cols>
    <col min="1" max="1" width="6" style="119" customWidth="1"/>
    <col min="2" max="2" width="22.06640625" style="119" bestFit="1" customWidth="1"/>
    <col min="3" max="3" width="34" style="119" customWidth="1"/>
    <col min="4" max="4" width="18" style="119" customWidth="1"/>
    <col min="5" max="5" width="30" style="119" customWidth="1"/>
    <col min="6" max="6" width="13" style="119" customWidth="1"/>
    <col min="7" max="7" width="11.3984375" style="119" customWidth="1"/>
    <col min="8" max="8" width="10" style="119" customWidth="1"/>
    <col min="9" max="9" width="11.3984375" style="119" customWidth="1"/>
    <col min="10" max="10" width="8" style="119" customWidth="1"/>
    <col min="11" max="11" width="11.3984375" style="119" customWidth="1"/>
    <col min="12" max="12" width="10" style="119" customWidth="1"/>
    <col min="13" max="13" width="11.3984375" style="119" customWidth="1"/>
    <col min="14" max="14" width="7" style="119" customWidth="1"/>
    <col min="15" max="15" width="10" style="119" customWidth="1"/>
    <col min="16" max="17" width="18" style="119" customWidth="1"/>
    <col min="18" max="18" width="7" style="119" customWidth="1"/>
    <col min="19" max="19" width="10.1328125" style="119" customWidth="1"/>
    <col min="20" max="20" width="9.1328125" style="119" customWidth="1"/>
    <col min="21" max="21" width="10.59765625" style="119" customWidth="1"/>
    <col min="22" max="22" width="13" style="119" customWidth="1"/>
    <col min="23" max="23" width="11" style="119" customWidth="1"/>
    <col min="24" max="24" width="21.265625" style="119" customWidth="1"/>
    <col min="25" max="25" width="9" style="119" customWidth="1"/>
    <col min="26" max="26" width="12" style="119" customWidth="1"/>
    <col min="27" max="27" width="13.1328125" style="119" customWidth="1"/>
    <col min="28" max="28" width="14.59765625" style="119" customWidth="1"/>
    <col min="29" max="32" width="9" style="119" customWidth="1"/>
    <col min="33" max="33" width="10" style="119" customWidth="1"/>
    <col min="34" max="34" width="12.59765625" style="119" customWidth="1"/>
    <col min="35" max="35" width="8" style="119" customWidth="1"/>
    <col min="36" max="36" width="9" style="119" customWidth="1"/>
    <col min="37" max="37" width="12" style="119" customWidth="1"/>
    <col min="38" max="38" width="26.1328125" style="119" bestFit="1" customWidth="1"/>
    <col min="39" max="16384" width="8.73046875" style="119"/>
  </cols>
  <sheetData>
    <row r="1" ht="39.75" customHeight="1">
      <c r="A1" s="62" t="s">
        <v>64</v>
      </c>
      <c r="B1" s="62" t="s">
        <v>12</v>
      </c>
      <c r="C1" s="62" t="s">
        <v>65</v>
      </c>
      <c r="D1" s="62" t="s">
        <v>13</v>
      </c>
      <c r="E1" s="62" t="s">
        <v>66</v>
      </c>
      <c r="F1" s="62" t="s">
        <v>67</v>
      </c>
      <c r="G1" s="151" t="s">
        <v>68</v>
      </c>
      <c r="H1" s="151" t="s">
        <v>69</v>
      </c>
      <c r="I1" s="151" t="s">
        <v>70</v>
      </c>
      <c r="J1" s="152" t="s">
        <v>15</v>
      </c>
      <c r="K1" s="152" t="s">
        <v>71</v>
      </c>
      <c r="L1" s="152" t="s">
        <v>72</v>
      </c>
      <c r="M1" s="152" t="s">
        <v>73</v>
      </c>
      <c r="N1" s="62" t="s">
        <v>74</v>
      </c>
      <c r="O1" s="62" t="s">
        <v>75</v>
      </c>
      <c r="P1" s="62" t="s">
        <v>76</v>
      </c>
      <c r="Q1" s="62" t="s">
        <v>77</v>
      </c>
      <c r="R1" s="62" t="s">
        <v>78</v>
      </c>
      <c r="S1" s="62" t="s">
        <v>652</v>
      </c>
      <c r="T1" s="62" t="s">
        <v>79</v>
      </c>
      <c r="U1" s="62" t="s">
        <v>80</v>
      </c>
      <c r="V1" s="62" t="s">
        <v>653</v>
      </c>
      <c r="W1" s="62" t="s">
        <v>654</v>
      </c>
      <c r="X1" s="62" t="s">
        <v>81</v>
      </c>
      <c r="Y1" s="62" t="s">
        <v>82</v>
      </c>
      <c r="Z1" s="62" t="s">
        <v>83</v>
      </c>
      <c r="AA1" s="62" t="s">
        <v>655</v>
      </c>
      <c r="AB1" s="62" t="s">
        <v>84</v>
      </c>
      <c r="AC1" s="62" t="s">
        <v>656</v>
      </c>
      <c r="AD1" s="62" t="s">
        <v>657</v>
      </c>
      <c r="AE1" s="62" t="s">
        <v>85</v>
      </c>
      <c r="AF1" s="62" t="s">
        <v>86</v>
      </c>
      <c r="AG1" s="62" t="s">
        <v>658</v>
      </c>
      <c r="AH1" s="62" t="s">
        <v>87</v>
      </c>
      <c r="AI1" s="62" t="s">
        <v>88</v>
      </c>
      <c r="AJ1" s="62" t="s">
        <v>659</v>
      </c>
      <c r="AK1" s="62" t="s">
        <v>89</v>
      </c>
      <c r="AL1" s="62" t="s">
        <v>22</v>
      </c>
    </row>
    <row r="2" ht="16.5" customHeight="1">
      <c r="A2" s="69"/>
      <c r="B2" s="70"/>
      <c r="C2" s="70"/>
      <c r="D2" s="70"/>
      <c r="E2" s="70"/>
      <c r="F2" s="70"/>
      <c r="G2" s="71"/>
      <c r="H2" s="66"/>
      <c r="I2" s="67"/>
      <c r="J2" s="153"/>
      <c r="K2" s="72"/>
      <c r="L2" s="66"/>
      <c r="M2" s="67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</sheetData>
  <autoFilter ref="A1:AL2" xr:uid="{00000000-0001-0000-0600-000000000000}"/>
  <phoneticPr fontId="36" type="noConversion"/>
  <conditionalFormatting sqref="G2:I2">
    <cfRule type="expression" dxfId="4" priority="2">
      <formula>$H2="완료"</formula>
    </cfRule>
  </conditionalFormatting>
  <conditionalFormatting sqref="J2:M2">
    <cfRule type="expression" dxfId="2" priority="4">
      <formula>$J2="제외"</formula>
    </cfRule>
    <cfRule type="expression" dxfId="1" priority="5">
      <formula>$L2="완료"</formula>
    </cfRule>
  </conditionalFormatting>
  <dataValidations count="2">
    <dataValidation type="list" allowBlank="1" sqref="L2:L2 H2:H2" xr:uid="{00000000-0002-0000-0600-000000000000}">
      <formula1>"완료,미완료,보류"</formula1>
      <formula2>0</formula2>
    </dataValidation>
    <dataValidation type="list" sqref="J2:J2" xr:uid="{00000000-0002-0000-0600-000002000000}">
      <formula1>"대상,제외"</formula1>
      <formula2>0</formula2>
    </dataValidation>
  </dataValidations>
  <printOptions horizontalCentered="1"/>
  <pageMargins left="0.75" right="0.75" top="1" bottom="1" header="0.511811023622047" footer="0.511811023622047"/>
  <pageSetup paperSize="9" scale="55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600-000003000000}">
            <xm:f>AND($H2&lt;&gt;"완료",$G2&lt;'설치 진행현황'!$K$1)</xm:f>
            <x14:dxf>
              <fill>
                <patternFill>
                  <bgColor rgb="FFFBE4E4"/>
                </patternFill>
              </fill>
            </x14:dxf>
          </x14:cfRule>
          <xm:sqref>G2:I2</xm:sqref>
        </x14:conditionalFormatting>
        <x14:conditionalFormatting xmlns:xm="http://schemas.microsoft.com/office/excel/2006/main">
          <x14:cfRule type="expression" priority="6" id="{00000000-000E-0000-0600-000006000000}">
            <xm:f>AND($J2="대상",$L2&lt;&gt;"완료",$K2&lt;'설치 진행현황'!$K$1)</xm:f>
            <x14:dxf>
              <fill>
                <patternFill>
                  <bgColor rgb="FFFBE4E4"/>
                </patternFill>
              </fill>
            </x14:dxf>
          </x14:cfRule>
          <xm:sqref>J2:M2</xm:sqref>
        </x14:conditionalFormatting>
      </x14:conditionalFormattings>
    </ext>
  </extLst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김준영</cp:lastModifiedBy>
  <cp:revision>1</cp:revision>
  <dcterms:created xsi:type="dcterms:W3CDTF">2026-08-06T02:18:01Z</dcterms:created>
  <dcterms:modified xsi:type="dcterms:W3CDTF">2026-10-13T05:22:04Z</dcterms:modified>
  <cp:category/>
  <cp:contentStatus/>
</cp:coreProperties>
</file>